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جدول الكامل" sheetId="1" state="visible" r:id="rId3"/>
    <sheet name="ملاحظات ومتابعة" sheetId="2" state="visible" r:id="rId4"/>
    <sheet name="الملخص" sheetId="3" state="visible" r:id="rId5"/>
    <sheet name="التكلفة التأسيسية" sheetId="4" state="visible" r:id="rId6"/>
    <sheet name="المصاريف الشهرية" sheetId="5" state="visible" r:id="rId7"/>
    <sheet name="الافتراضات" sheetId="6" state="visible" r:id="rId8"/>
    <sheet name="تفصيل الديكور" sheetId="7" state="visible" r:id="rId9"/>
    <sheet name="تكلفة البرجر" sheetId="8" state="visible" r:id="rId10"/>
    <sheet name="نقطة التعادل" sheetId="9" state="visible" r:id="rId11"/>
    <sheet name="استرجاع رأس المال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<sst xmlns="http://schemas.openxmlformats.org/spreadsheetml/2006/main" count="523" uniqueCount="321">
  <si>
    <t xml:space="preserve">الجدول الكامل لتكلفة المطعم (كل البنود)</t>
  </si>
  <si>
    <t xml:space="preserve">كل البنود في مكان واحد. التعديل هنا ما يغيّر ورقة الملخص؛ عدّل في ورقة التكلفة التأسيسية.</t>
  </si>
  <si>
    <t xml:space="preserve">البند</t>
  </si>
  <si>
    <t xml:space="preserve">الكمية</t>
  </si>
  <si>
    <t xml:space="preserve">سعر الوحدة</t>
  </si>
  <si>
    <t xml:space="preserve">الإجمالي</t>
  </si>
  <si>
    <t xml:space="preserve">ملاحظات</t>
  </si>
  <si>
    <t xml:space="preserve">معدات الطبخ</t>
  </si>
  <si>
    <t xml:space="preserve">شواية/طباخ غاز 6 عيون بدولاب ستيل</t>
  </si>
  <si>
    <t xml:space="preserve">سعر حصّله صاحب المشروع</t>
  </si>
  <si>
    <t xml:space="preserve">قلاية غاز أرضية حوض واحد 28 لتر</t>
  </si>
  <si>
    <t xml:space="preserve">Elite World GF28L - Ekuep</t>
  </si>
  <si>
    <t xml:space="preserve">شفاط ستيل 3م + فلاتر + دكت + مروحة سطح</t>
  </si>
  <si>
    <t xml:space="preserve">تفصيل ورشة محلية، تقدير</t>
  </si>
  <si>
    <t xml:space="preserve">نظام إطفاء آلي فوق الشفاط</t>
  </si>
  <si>
    <t xml:space="preserve">شرط الدفاع المدني</t>
  </si>
  <si>
    <t xml:space="preserve">تمديدات غاز آمنة من الأسطوانات + منظم + حساس تسريب + قفص أسطوانات</t>
  </si>
  <si>
    <t xml:space="preserve">مجموع معدات الطبخ</t>
  </si>
  <si>
    <t xml:space="preserve">التبريد والتخزين</t>
  </si>
  <si>
    <t xml:space="preserve">ثلاجة قائمة ستيل بابين 1140 لتر</t>
  </si>
  <si>
    <t xml:space="preserve">المصية SMQ-VRS2 - Ekuep؛ صاحب المشروع أكد السعر 9–10 آلاف</t>
  </si>
  <si>
    <t xml:space="preserve">فريزر أفقي (صندوق) ~500 لتر</t>
  </si>
  <si>
    <t xml:space="preserve">رف سلك 5 أدوار</t>
  </si>
  <si>
    <t xml:space="preserve">رف ستيل 5 أدوار</t>
  </si>
  <si>
    <t xml:space="preserve">مجموع التبريد والتخزين</t>
  </si>
  <si>
    <t xml:space="preserve">التحضير والغسيل</t>
  </si>
  <si>
    <t xml:space="preserve">طاولة تحضير ستيل عريضة 180سم بدور سفلي</t>
  </si>
  <si>
    <t xml:space="preserve">لتحضير الطعام</t>
  </si>
  <si>
    <t xml:space="preserve">رف ستيل للطلبات الجاهزة جنب شباك التطبيقات</t>
  </si>
  <si>
    <t xml:space="preserve">يستلم منه مندوب التوصيل</t>
  </si>
  <si>
    <t xml:space="preserve">مغسلة ستيل 3 أحواض</t>
  </si>
  <si>
    <t xml:space="preserve">مو ظاهرة بس شرط بلدية</t>
  </si>
  <si>
    <t xml:space="preserve">مصيدة دهون</t>
  </si>
  <si>
    <t xml:space="preserve">شرط بلدية</t>
  </si>
  <si>
    <t xml:space="preserve">أدوات صغيرة: حاويات GN ستيل بأحجام مختلفة</t>
  </si>
  <si>
    <t xml:space="preserve">أدوات صغيرة: ملاقط وسباتولات وسكاكين</t>
  </si>
  <si>
    <t xml:space="preserve">أدوات صغيرة: ألواح تقطيع ملونة</t>
  </si>
  <si>
    <t xml:space="preserve">أدوات صغيرة: علب صوص وموزعات</t>
  </si>
  <si>
    <t xml:space="preserve">أدوات صغيرة: ميزان + ميزان حرارة طعام</t>
  </si>
  <si>
    <t xml:space="preserve">مجموع التحضير والغسيل</t>
  </si>
  <si>
    <t xml:space="preserve">الكاشير والتقنية</t>
  </si>
  <si>
    <t xml:space="preserve">نظام كاشير: جهاز كاشير بشاشة لمس</t>
  </si>
  <si>
    <t xml:space="preserve">نظام كاشير: طابعة فواتير</t>
  </si>
  <si>
    <t xml:space="preserve">نظام كاشير: درج كاش</t>
  </si>
  <si>
    <t xml:space="preserve">تابلت (طلبات التطبيقات + موظف السيارات)</t>
  </si>
  <si>
    <t xml:space="preserve">كاميرات مراقبة 4 + جهاز تسجيل</t>
  </si>
  <si>
    <t xml:space="preserve">طقم جاهز</t>
  </si>
  <si>
    <t xml:space="preserve">طاولة خشب للكاشير</t>
  </si>
  <si>
    <t xml:space="preserve">مجموع الكاشير والتقنية</t>
  </si>
  <si>
    <t xml:space="preserve">التكييف والإضاءة</t>
  </si>
  <si>
    <t xml:space="preserve">مكيف سبليت 18 ألف وحدة مع التركيب</t>
  </si>
  <si>
    <t xml:space="preserve">ماركة اقتصادية جيدة، تقدير</t>
  </si>
  <si>
    <t xml:space="preserve">إضاءة داخلية LED بانل</t>
  </si>
  <si>
    <t xml:space="preserve">إضاءة خارجية (سبوتات + شريط LED للمظلة)</t>
  </si>
  <si>
    <t xml:space="preserve">مجموع التكييف والإضاءة</t>
  </si>
  <si>
    <t xml:space="preserve">الموظفين</t>
  </si>
  <si>
    <t xml:space="preserve">زي موظفين (تيشيرت + كاب + مريلة)</t>
  </si>
  <si>
    <t xml:space="preserve">طقمين لكل موظف</t>
  </si>
  <si>
    <t xml:space="preserve">مجموع الموظفين</t>
  </si>
  <si>
    <t xml:space="preserve">التجهيز والديكور</t>
  </si>
  <si>
    <t xml:space="preserve">تبليط ~100م² شامل النعلات والزوايا والدهان + قاطع وباب</t>
  </si>
  <si>
    <t xml:space="preserve">السقف موجود؛ العزل على المؤجر</t>
  </si>
  <si>
    <t xml:space="preserve">تكسية الواجهة الأمامية كلادينج + مظلة</t>
  </si>
  <si>
    <t xml:space="preserve">تفصيلها في ورقة تفصيل الديكور</t>
  </si>
  <si>
    <t xml:space="preserve">اللوحة المضيئة: لوحة حروف بارزة مضيئة ~5×1.2م</t>
  </si>
  <si>
    <t xml:space="preserve">اللوحة المضيئة: تركيب وتوصيل كهرباء</t>
  </si>
  <si>
    <t xml:space="preserve">الشبابيك: شباك درايف ثرو منزلق مع رف استلام</t>
  </si>
  <si>
    <t xml:space="preserve">الشبابيك: شباك التطبيقات مع مظلة قماش</t>
  </si>
  <si>
    <t xml:space="preserve">لوحات الموقع: 5 لوحات على أعمدة (1–4 + طلبات) × 250</t>
  </si>
  <si>
    <t xml:space="preserve">لوحات الموقع: لوحة شعارات التطبيقات</t>
  </si>
  <si>
    <t xml:space="preserve">مخططات هندسية: مخططات للبلدية والدفاع المدني</t>
  </si>
  <si>
    <t xml:space="preserve">مجموع التجهيز والديكور</t>
  </si>
  <si>
    <t xml:space="preserve">التراخيص</t>
  </si>
  <si>
    <t xml:space="preserve">سجل تجاري + غرفة تجارية</t>
  </si>
  <si>
    <t xml:space="preserve">رخصة بلدية + لوحة</t>
  </si>
  <si>
    <t xml:space="preserve">تختلف حسب المدينة والمساحة</t>
  </si>
  <si>
    <t xml:space="preserve">تصريح الدفاع المدني</t>
  </si>
  <si>
    <t xml:space="preserve">شهادات صحية للموظفين</t>
  </si>
  <si>
    <t xml:space="preserve">مجموع التراخيص</t>
  </si>
  <si>
    <t xml:space="preserve">ما قبل الافتتاح</t>
  </si>
  <si>
    <t xml:space="preserve">إيجار سنة مقدم</t>
  </si>
  <si>
    <t xml:space="preserve">من غير الديكور</t>
  </si>
  <si>
    <t xml:space="preserve">مخزون أول: لحم برجر (أقراص مجمدة)</t>
  </si>
  <si>
    <t xml:space="preserve">مخزون أول: خبز برجر</t>
  </si>
  <si>
    <t xml:space="preserve">مخزون أول: بطاطس مجمدة</t>
  </si>
  <si>
    <t xml:space="preserve">مخزون أول: جبن وخضار</t>
  </si>
  <si>
    <t xml:space="preserve">مخزون أول: صوصات</t>
  </si>
  <si>
    <t xml:space="preserve">مخزون أول: زيت قلي</t>
  </si>
  <si>
    <t xml:space="preserve">مخزون أول: مشروبات غازية وماء</t>
  </si>
  <si>
    <t xml:space="preserve">تغليف وطباعة: علب برجر سادة</t>
  </si>
  <si>
    <t xml:space="preserve">تغليف وطباعة: أكياس سادة</t>
  </si>
  <si>
    <t xml:space="preserve">تغليف وطباعة: ستيكر بالشعار</t>
  </si>
  <si>
    <t xml:space="preserve">تغليف وطباعة: علب بطاطس</t>
  </si>
  <si>
    <t xml:space="preserve">تغليف وطباعة: أكواب وأغطية</t>
  </si>
  <si>
    <t xml:space="preserve">تغليف وطباعة: مناديل وعلب صوص صغيرة</t>
  </si>
  <si>
    <t xml:space="preserve">تسويق الافتتاح: إعلانات سناب وتيك توك</t>
  </si>
  <si>
    <t xml:space="preserve">تسويق الافتتاح: مشاهير محليين</t>
  </si>
  <si>
    <t xml:space="preserve">تسويق الافتتاح: منيو مطبوع وفلايرات</t>
  </si>
  <si>
    <t xml:space="preserve">مجموع ما قبل الافتتاح</t>
  </si>
  <si>
    <t xml:space="preserve">احتياط</t>
  </si>
  <si>
    <t xml:space="preserve">احتياط كهرباء وسباكة (يُصرف عند الحاجة)</t>
  </si>
  <si>
    <t xml:space="preserve">مو مصروف أكيد</t>
  </si>
  <si>
    <t xml:space="preserve">مجموع احتياط</t>
  </si>
  <si>
    <t xml:space="preserve">إجمالي التأسيس</t>
  </si>
  <si>
    <t xml:space="preserve">المصاريف الشهرية الثابتة</t>
  </si>
  <si>
    <t xml:space="preserve">رواتب 4 موظفين (شوّاي رئيسي 2,500 + 3 موظفين × 2,000)</t>
  </si>
  <si>
    <t xml:space="preserve">المقابل المالي للعمالة الوافدة (800 × 2، والاثنين الباقين معفيين)</t>
  </si>
  <si>
    <t xml:space="preserve">سكن الموظفين (400 × 4)</t>
  </si>
  <si>
    <t xml:space="preserve">تأمين طبي (125 × 4)</t>
  </si>
  <si>
    <t xml:space="preserve">تأمينات اجتماعية - أخطار مهنية 2%</t>
  </si>
  <si>
    <t xml:space="preserve">كهرباء + ماء + غاز</t>
  </si>
  <si>
    <t xml:space="preserve">اشتراك نظام الكاشير</t>
  </si>
  <si>
    <t xml:space="preserve">تسويق شهري</t>
  </si>
  <si>
    <t xml:space="preserve">صيانة ونظافة</t>
  </si>
  <si>
    <t xml:space="preserve">إجمالي الشهري</t>
  </si>
  <si>
    <t xml:space="preserve">احتياطي تشغيل شهرين</t>
  </si>
  <si>
    <t xml:space="preserve">الإجمالي المطلوب للبدء</t>
  </si>
  <si>
    <t xml:space="preserve">ملاحظات ومتابعة</t>
  </si>
  <si>
    <t xml:space="preserve">الخلاصة: المطلوب للبدء 198,910 ريال، والمصاريف الشهرية الثابتة 18,270 ريال (بدون الإيجار لأنه مدفوع سنوي).</t>
  </si>
  <si>
    <t xml:space="preserve">أشياء تتأكد منها قبل ما تصرف</t>
  </si>
  <si>
    <t xml:space="preserve">#</t>
  </si>
  <si>
    <t xml:space="preserve">ليش مهم</t>
  </si>
  <si>
    <t xml:space="preserve">وين تسأل</t>
  </si>
  <si>
    <t xml:space="preserve">الحالة</t>
  </si>
  <si>
    <t xml:space="preserve">عرض سعر للواجهة والمظلة (17,000)</t>
  </si>
  <si>
    <t xml:space="preserve">أكبر بند تقديري باقي في الحساب</t>
  </si>
  <si>
    <t xml:space="preserve">مقاولين كلادينج وحدادة (اثنين على الأقل)</t>
  </si>
  <si>
    <t xml:space="preserve">لم يتم</t>
  </si>
  <si>
    <t xml:space="preserve">مغسلة اليدين والسخان</t>
  </si>
  <si>
    <t xml:space="preserve">شلناهم من الحساب، والبلدية ممكن تطلبهم حتى لو ما فيه جلسات</t>
  </si>
  <si>
    <t xml:space="preserve">البلدية أو مكتب الخدمات اللي يطلع لك الرخصة</t>
  </si>
  <si>
    <t xml:space="preserve">إعفاء المقابل المالي لعاملين</t>
  </si>
  <si>
    <t xml:space="preserve">يوفر 1,600 ريال شهريًا؛ لازم تكون متفرغ ومسجل في التأمينات على المطعم، والقرار ما تأكدنا إنه شغال في 2026</t>
  </si>
  <si>
    <t xml:space="preserve">مكتب العمل أو منصة قوى</t>
  </si>
  <si>
    <t xml:space="preserve">العزل المائي ولوحة الكهرباء على المؤجر</t>
  </si>
  <si>
    <t xml:space="preserve">شلناهم من الحساب على أساس إنهم على المالك</t>
  </si>
  <si>
    <t xml:space="preserve">اكتبها في عقد الإيجار</t>
  </si>
  <si>
    <t xml:space="preserve">الخطوات الجاية للمشروع</t>
  </si>
  <si>
    <t xml:space="preserve">الخطوة</t>
  </si>
  <si>
    <t xml:space="preserve">وش نطلع منها</t>
  </si>
  <si>
    <t xml:space="preserve">تكلفة البرجر الواحد</t>
  </si>
  <si>
    <t xml:space="preserve">كم يكلف الساندويتش والوجبة بالضبط، وسعر البيع المناسب</t>
  </si>
  <si>
    <t xml:space="preserve">نقطة التعادل</t>
  </si>
  <si>
    <t xml:space="preserve">كم وجبة لازم تبيع يوميًا عشان تغطي 18,270 الشهرية وتبدأ تربح</t>
  </si>
  <si>
    <t xml:space="preserve">متى يرجع رأس المال</t>
  </si>
  <si>
    <t xml:space="preserve">كم شهر لين ترجع 198,910، على 3 سيناريوهات: ضعيف ومتوسط وقوي</t>
  </si>
  <si>
    <t xml:space="preserve">ملاحظة: الأسعار المعلّمة "تقدير سوق" في ورقة التكلفة التأسيسية تقريبية، وتتغير حسب المورد والمدينة.</t>
  </si>
  <si>
    <t xml:space="preserve">ملخص تكلفة مشروع المطعم</t>
  </si>
  <si>
    <t xml:space="preserve">المبلغ</t>
  </si>
  <si>
    <t xml:space="preserve">احتياط (كهرباء وسباكة)</t>
  </si>
  <si>
    <t xml:space="preserve">عدد أشهر الاحتياطي (عدّله)</t>
  </si>
  <si>
    <t xml:space="preserve">احتياطي تشغيل (المصاريف الشهرية × عدد الأشهر)</t>
  </si>
  <si>
    <t xml:space="preserve">تكلفة تأسيس مطعم كويك بايت (درايف ثرو)</t>
  </si>
  <si>
    <t xml:space="preserve">الأسعار شاملة الضريبة تقريبًا. الخلايا الصفراء (الكمية والسعر) تقدر تعدلها والمجاميع تتحدث تلقائيًا.</t>
  </si>
  <si>
    <t xml:space="preserve">القسم</t>
  </si>
  <si>
    <t xml:space="preserve">مصدر السعر</t>
  </si>
  <si>
    <t xml:space="preserve">سعر حصلته</t>
  </si>
  <si>
    <t xml:space="preserve">✅ سعر متجر</t>
  </si>
  <si>
    <t xml:space="preserve">تقدير سوق</t>
  </si>
  <si>
    <t xml:space="preserve">مغسلة يدين</t>
  </si>
  <si>
    <t xml:space="preserve">محذوف بطلبك</t>
  </si>
  <si>
    <t xml:space="preserve">أدوات صغيرة (ملاقط، سكاكين، حاويات GN، ألواح تقطيع...)</t>
  </si>
  <si>
    <t xml:space="preserve">نظام كاشير: جهاز واحد + طابعة + درج كاش</t>
  </si>
  <si>
    <t xml:space="preserve">مثل فودكس/ريوان، الاشتراك شهري منفصل</t>
  </si>
  <si>
    <t xml:space="preserve">لوكر معدن 3 أبواب</t>
  </si>
  <si>
    <t xml:space="preserve">سعر حصلته للتبليط</t>
  </si>
  <si>
    <t xml:space="preserve">لوحة اسم مضيئة</t>
  </si>
  <si>
    <t xml:space="preserve">شباك درايف ثرو + شباك تطبيقات ألمنيوم</t>
  </si>
  <si>
    <t xml:space="preserve">لوحات المواقف 1–4 + لوحة طلبات + لوحة التطبيقات</t>
  </si>
  <si>
    <t xml:space="preserve">مخططات هندسية للبلدية والدفاع المدني</t>
  </si>
  <si>
    <t xml:space="preserve">منك</t>
  </si>
  <si>
    <t xml:space="preserve">سعي/عمولة مكتب عقار 2.5%</t>
  </si>
  <si>
    <t xml:space="preserve">إيجار من المالك مباشرة</t>
  </si>
  <si>
    <t xml:space="preserve">مخزون أول أسبوع (لحم، خبز، بطاطس، صوصات...)</t>
  </si>
  <si>
    <t xml:space="preserve">تغليف وطباعة: علب سادة + ستيكر بالشعار</t>
  </si>
  <si>
    <t xml:space="preserve">تسويق الافتتاح</t>
  </si>
  <si>
    <t xml:space="preserve">ما تشمل تكلفة البضاعة ولا عمولة تطبيقات التوصيل لأنها تتغير حسب المبيعات.</t>
  </si>
  <si>
    <t xml:space="preserve">شهريًا</t>
  </si>
  <si>
    <t xml:space="preserve">إعفاء المنشآت الصغيرة: عاملين إذا المالك متفرغ ومسجل في التأمينات، و4 إذا فيه موظف سعودي</t>
  </si>
  <si>
    <t xml:space="preserve">تقدير</t>
  </si>
  <si>
    <t xml:space="preserve">إجمالي المصاريف الشهرية الثابتة (الإيجار مدفوع سنوي في التأسيس)</t>
  </si>
  <si>
    <t xml:space="preserve">الافتراضات والملاحظات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</si>
  <si>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FreeSans"/>
        <family val="2"/>
      </rPr>
      <t xml:space="preserve">الشوايات غاز بجودة متوسطة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حسب طلبك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</si>
  <si>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FreeSans"/>
        <family val="2"/>
      </rPr>
      <t xml:space="preserve">الإيجار </t>
    </r>
    <r>
      <rPr>
        <sz val="11"/>
        <color theme="1"/>
        <rFont val="Calibri"/>
        <family val="2"/>
        <charset val="1"/>
      </rPr>
      <t xml:space="preserve">20,000 </t>
    </r>
    <r>
      <rPr>
        <sz val="11"/>
        <color theme="1"/>
        <rFont val="FreeSans"/>
        <family val="2"/>
      </rPr>
      <t xml:space="preserve">ريال، افترضت إنه سنوي ومدفوع مقدم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لو الدفع على دفعات قلّ المبلغ المطلوب للبدء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</si>
  <si>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FreeSans"/>
        <family val="2"/>
      </rPr>
      <t xml:space="preserve">المحل مستأجر بدون ديكور، فحسبت التجهيز الداخلي والواجهة على مساحة تقريبية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FreeSans"/>
        <family val="2"/>
      </rPr>
      <t xml:space="preserve">م²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</si>
  <si>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FreeSans"/>
        <family val="2"/>
      </rPr>
      <t xml:space="preserve">الأسعار المعلّمة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سعر متجر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FreeSans"/>
        <family val="2"/>
      </rPr>
      <t xml:space="preserve">من موقع </t>
    </r>
    <r>
      <rPr>
        <sz val="11"/>
        <color theme="1"/>
        <rFont val="Calibri"/>
        <family val="2"/>
        <charset val="1"/>
      </rPr>
      <t xml:space="preserve">Ekuep (</t>
    </r>
    <r>
      <rPr>
        <sz val="11"/>
        <color theme="1"/>
        <rFont val="FreeSans"/>
        <family val="2"/>
      </rPr>
      <t xml:space="preserve">أكتوبر </t>
    </r>
    <r>
      <rPr>
        <sz val="11"/>
        <color theme="1"/>
        <rFont val="Calibri"/>
        <family val="2"/>
        <charset val="1"/>
      </rPr>
      <t xml:space="preserve">2026). </t>
    </r>
    <r>
      <rPr>
        <sz val="11"/>
        <color theme="1"/>
        <rFont val="FreeSans"/>
        <family val="2"/>
      </rPr>
      <t xml:space="preserve">الباقي تقدير من أدلة السوق السعودي، والأسعار الفعلية تتغير حسب المورد والمدينة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</si>
  <si>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FreeSans"/>
        <family val="2"/>
      </rPr>
      <t xml:space="preserve">ما حسبت تكاليف استقدام موظفين أو نقل كفالة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</si>
  <si>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FreeSans"/>
        <family val="2"/>
      </rPr>
      <t xml:space="preserve">ما حسبت تكلفة البضاعة الشهرية ولا عمولة التطبيقات </t>
    </r>
    <r>
      <rPr>
        <sz val="11"/>
        <color theme="1"/>
        <rFont val="Calibri"/>
        <family val="2"/>
        <charset val="1"/>
      </rPr>
      <t xml:space="preserve">(20–25% </t>
    </r>
    <r>
      <rPr>
        <sz val="11"/>
        <color theme="1"/>
        <rFont val="FreeSans"/>
        <family val="2"/>
      </rPr>
      <t xml:space="preserve">تقريبًا من مبيعات التطبيقات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لأنها تعتمد على المبيعات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</si>
  <si>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FreeSans"/>
        <family val="2"/>
      </rPr>
      <t xml:space="preserve">أجهزة الدفع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مدى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غالبًا مجانية من البنك أو مزوّد الخدمة مقابل نسبة من العملية</t>
    </r>
    <r>
      <rPr>
        <sz val="11"/>
        <color theme="1"/>
        <rFont val="Calibri"/>
        <family val="2"/>
        <charset val="1"/>
      </rPr>
      <t xml:space="preserve">.</t>
    </r>
  </si>
  <si>
    <t xml:space="preserve">المصادر:</t>
  </si>
  <si>
    <t xml:space="preserve">https://www.ekuep.com/en/alwatania-factory-ov6-220-6-burners-gas-stove-cast-iron-2200-mm</t>
  </si>
  <si>
    <t xml:space="preserve">https://www.ekuep.com/en/elite-world-gf28l-gas-fryer-1-basin-28l-capicity</t>
  </si>
  <si>
    <t xml:space="preserve">https://www.ekuep.com/en/al-maseya-smq-vrs2-vertical-refrigerator-2-steel-doors</t>
  </si>
  <si>
    <t xml:space="preserve">https://sabbar.com/blog/restaurant-equipment</t>
  </si>
  <si>
    <t xml:space="preserve">https://sabbar.com/blog/cost-of-opening-a-restaurant-in-saudi-arabia</t>
  </si>
  <si>
    <r>
      <rPr>
        <sz val="11"/>
        <color theme="1"/>
        <rFont val="Calibri"/>
        <family val="2"/>
        <charset val="1"/>
      </rPr>
      <t xml:space="preserve">https://rukn-services.com/</t>
    </r>
    <r>
      <rPr>
        <sz val="11"/>
        <color theme="1"/>
        <rFont val="FreeSans"/>
        <family val="2"/>
      </rPr>
      <t xml:space="preserve">تكلفة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ترخيص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مطعم</t>
    </r>
    <r>
      <rPr>
        <sz val="11"/>
        <color theme="1"/>
        <rFont val="Calibri"/>
        <family val="2"/>
        <charset val="1"/>
      </rPr>
      <t xml:space="preserve">/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</si>
  <si>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FreeSans"/>
        <family val="2"/>
      </rPr>
      <t xml:space="preserve">العزل المائي وتسوية الأرضية ولوحة الكهرباء على المؤجر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حسب كلامك</t>
    </r>
    <r>
      <rPr>
        <sz val="11"/>
        <color theme="1"/>
        <rFont val="Calibri"/>
        <family val="2"/>
        <charset val="1"/>
      </rPr>
      <t xml:space="preserve">).</t>
    </r>
  </si>
  <si>
    <t xml:space="preserve">9. إعفاء المقابل المالي لعاملين (المالك متفرغ ومسجل في التأمينات). المصدر: https://www.hrsd.gov.sa/media-center/news/503970</t>
  </si>
  <si>
    <t xml:space="preserve">تفصيل التجهيز والديكور (تقديري)</t>
  </si>
  <si>
    <t xml:space="preserve">تبليط وتشطيب داخلي (~35م²)</t>
  </si>
  <si>
    <t xml:space="preserve">تبليط جدران وأرضية ~100م² شامل المواد والمصنعية (سعر حصلته)</t>
  </si>
  <si>
    <t xml:space="preserve">بورسلان أرضية (داخل بند التبليط)</t>
  </si>
  <si>
    <t xml:space="preserve">سقف جبس (موجود في المحل)</t>
  </si>
  <si>
    <t xml:space="preserve">قاطع داخلي بين المطبخ والكاشير + باب واحد</t>
  </si>
  <si>
    <t xml:space="preserve">عزل مائي وتسوية أرضية (صبّة) (على المؤجر)</t>
  </si>
  <si>
    <t xml:space="preserve">نعلات وزوايا ودهان (داخل بند التبليط)</t>
  </si>
  <si>
    <t xml:space="preserve">مصنعية التبليط (داخل بند التبليط)</t>
  </si>
  <si>
    <t xml:space="preserve">المجموع</t>
  </si>
  <si>
    <t xml:space="preserve">كهرباء وسباكة</t>
  </si>
  <si>
    <t xml:space="preserve">لوحة كهرباء وقواطع (تتحمل المكيفات والثلاجة) (على المؤجر)</t>
  </si>
  <si>
    <t xml:space="preserve">تمديدات وأفياش ونقاط مكيفات</t>
  </si>
  <si>
    <t xml:space="preserve">تمديدات ماء وصرف للمغاسل</t>
  </si>
  <si>
    <t xml:space="preserve">صفايات أرضية 2 وقطع</t>
  </si>
  <si>
    <t xml:space="preserve">مصنعية (نُقلت لبند الاحتياط)</t>
  </si>
  <si>
    <t xml:space="preserve">الواجهة والمظلة</t>
  </si>
  <si>
    <t xml:space="preserve">كلادينج أحمر ورمادي للواجهة الأمامية فقط</t>
  </si>
  <si>
    <t xml:space="preserve">هيكل المظلة وسقفها (على قد منطقة السيارات)</t>
  </si>
  <si>
    <t xml:space="preserve">أعمدة حديد وتركيب ودهان</t>
  </si>
  <si>
    <t xml:space="preserve">حواف المظلة (الإطار الأصفر)</t>
  </si>
  <si>
    <t xml:space="preserve">مصنعية وسقالات</t>
  </si>
  <si>
    <t xml:space="preserve">اللوحة المضيئة</t>
  </si>
  <si>
    <t xml:space="preserve">لوحة حروف بارزة مضيئة ~5×1.2م</t>
  </si>
  <si>
    <t xml:space="preserve">تركيب وتوصيل كهرباء</t>
  </si>
  <si>
    <t xml:space="preserve">الشبابيك</t>
  </si>
  <si>
    <t xml:space="preserve">شباك درايف ثرو منزلق مع رف استلام</t>
  </si>
  <si>
    <t xml:space="preserve">شباك التطبيقات مع مظلة قماش</t>
  </si>
  <si>
    <t xml:space="preserve">لوحات الموقع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</si>
  <si>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لوحات على أعمدة </t>
    </r>
    <r>
      <rPr>
        <sz val="11"/>
        <color theme="1"/>
        <rFont val="Calibri"/>
        <family val="2"/>
        <charset val="1"/>
      </rPr>
      <t xml:space="preserve">(1–4 + </t>
    </r>
    <r>
      <rPr>
        <sz val="11"/>
        <color theme="1"/>
        <rFont val="FreeSans"/>
        <family val="2"/>
      </rPr>
      <t xml:space="preserve">طلبات</t>
    </r>
    <r>
      <rPr>
        <sz val="11"/>
        <color theme="1"/>
        <rFont val="Calibri"/>
        <family val="2"/>
        <charset val="1"/>
      </rPr>
      <t xml:space="preserve">) × 250</t>
    </r>
  </si>
  <si>
    <t xml:space="preserve">مصدات عجلات 5 × 150</t>
  </si>
  <si>
    <t xml:space="preserve">ملصق أرضي لمنطقة التطبيقات</t>
  </si>
  <si>
    <t xml:space="preserve">لوحة شعارات التطبيقات</t>
  </si>
  <si>
    <t xml:space="preserve">مخططات هندسية</t>
  </si>
  <si>
    <t xml:space="preserve">مخططات للبلدية والدفاع المدني</t>
  </si>
  <si>
    <t xml:space="preserve">إجمالي الديكور</t>
  </si>
  <si>
    <t xml:space="preserve">تكلفة البرجر الواحد وسعر البيع</t>
  </si>
  <si>
    <t xml:space="preserve">كل الخلايا الصفراء افتراضات مبدئية (مو أسعار مؤكدة من مورد). بدّلها بأسعارك الفعلية والباقي يتحدث تلقائيًا.</t>
  </si>
  <si>
    <t xml:space="preserve">الوحدة</t>
  </si>
  <si>
    <t xml:space="preserve">التكلفة</t>
  </si>
  <si>
    <t xml:space="preserve">الساندويتش</t>
  </si>
  <si>
    <t xml:space="preserve">قرص لحم برجر</t>
  </si>
  <si>
    <t xml:space="preserve">كجم</t>
  </si>
  <si>
    <t xml:space="preserve">افتراض: قرص 120 غ بسعر 40 ر.س/كجم؛ حدّثه بسعر المورد</t>
  </si>
  <si>
    <t xml:space="preserve">خبز برجر</t>
  </si>
  <si>
    <t xml:space="preserve">حبة</t>
  </si>
  <si>
    <t xml:space="preserve">افتراض</t>
  </si>
  <si>
    <t xml:space="preserve">جبن (شريحة)</t>
  </si>
  <si>
    <t xml:space="preserve">شريحة</t>
  </si>
  <si>
    <t xml:space="preserve">خضار (خس، طماطم، مخلل)</t>
  </si>
  <si>
    <t xml:space="preserve">حصة</t>
  </si>
  <si>
    <t xml:space="preserve">صوص</t>
  </si>
  <si>
    <t xml:space="preserve">تغليف الساندويتش (علبة + ستيكر)</t>
  </si>
  <si>
    <t xml:space="preserve">تكلفة الساندويتش</t>
  </si>
  <si>
    <t xml:space="preserve">إضافات الوجبة</t>
  </si>
  <si>
    <t xml:space="preserve">بطاطس مجمدة</t>
  </si>
  <si>
    <t xml:space="preserve">افتراض: حصة 150 غ</t>
  </si>
  <si>
    <t xml:space="preserve">زيت قلي (حصة)</t>
  </si>
  <si>
    <t xml:space="preserve">علبة بطاطس</t>
  </si>
  <si>
    <t xml:space="preserve">مشروب غازي</t>
  </si>
  <si>
    <t xml:space="preserve">علبة</t>
  </si>
  <si>
    <t xml:space="preserve">مناديل وعلب صوص صغيرة</t>
  </si>
  <si>
    <t xml:space="preserve">تكلفة إضافات الوجبة</t>
  </si>
  <si>
    <t xml:space="preserve">تكلفة الوجبة الكاملة</t>
  </si>
  <si>
    <t xml:space="preserve">التسعير والمزيج</t>
  </si>
  <si>
    <t xml:space="preserve">القيمة</t>
  </si>
  <si>
    <t xml:space="preserve">سعر بيع الساندويتش (شامل الضريبة)</t>
  </si>
  <si>
    <t xml:space="preserve">افتراض: قارنه بأسعار المنافسين في حيّك</t>
  </si>
  <si>
    <t xml:space="preserve">سعر بيع الوجبة (شامل الضريبة)</t>
  </si>
  <si>
    <t xml:space="preserve">ضريبة القيمة المضافة</t>
  </si>
  <si>
    <t xml:space="preserve">النسبة النظامية 15%</t>
  </si>
  <si>
    <t xml:space="preserve">عمولة تطبيقات التوصيل</t>
  </si>
  <si>
    <t xml:space="preserve">من ملف الافتراضات: 20–25% تقريبًا (نص المنتصف)</t>
  </si>
  <si>
    <t xml:space="preserve">نسبة الطلبات عبر التطبيقات</t>
  </si>
  <si>
    <t xml:space="preserve">افتراض: الباقي درايف ثرو</t>
  </si>
  <si>
    <t xml:space="preserve">نسبة الوجبات من إجمالي الطلبات</t>
  </si>
  <si>
    <t xml:space="preserve">افتراض: الباقي ساندويتش فقط</t>
  </si>
  <si>
    <t xml:space="preserve">النتائج</t>
  </si>
  <si>
    <t xml:space="preserve">كيف تنحسب</t>
  </si>
  <si>
    <t xml:space="preserve">صافي سعر الساندويتش (بدون ضريبة)</t>
  </si>
  <si>
    <t xml:space="preserve">السعر ÷ 1.15</t>
  </si>
  <si>
    <t xml:space="preserve">صافي سعر الوجبة (بدون ضريبة)</t>
  </si>
  <si>
    <t xml:space="preserve">نسبة تكلفة البضاعة: الساندويتش</t>
  </si>
  <si>
    <t xml:space="preserve">الشائع في المطاعم السريعة تقريبًا 28–35% (تقدير عام، مو رقم مؤكد)</t>
  </si>
  <si>
    <t xml:space="preserve">نسبة تكلفة البضاعة: الوجبة</t>
  </si>
  <si>
    <t xml:space="preserve">متوسط صافي إيراد الطلب</t>
  </si>
  <si>
    <t xml:space="preserve">مرجّح بنسبة الوجبات</t>
  </si>
  <si>
    <t xml:space="preserve">متوسط تكلفة البضاعة للطلب</t>
  </si>
  <si>
    <t xml:space="preserve">متوسط عمولة التطبيقات للطلب</t>
  </si>
  <si>
    <t xml:space="preserve">العمولة على الطلبات اللي تجي من التطبيقات فقط</t>
  </si>
  <si>
    <t xml:space="preserve">مساهمة الطلب الواحد (بعد البضاعة والعمولة)</t>
  </si>
  <si>
    <t xml:space="preserve">اللي يبقى لتغطية المصاريف الثابتة والربح</t>
  </si>
  <si>
    <t xml:space="preserve">نسبة المساهمة من الإيراد</t>
  </si>
  <si>
    <t xml:space="preserve">ما أدخلت رسوم الدفع الإلكتروني (مدى) ولا زكاة/ضريبة دخل، فالأرباح تقريبية قبلها.</t>
  </si>
  <si>
    <t xml:space="preserve">كم طلب لازم تبيع عشان تغطي المصاريف الشهرية الثابتة.</t>
  </si>
  <si>
    <t xml:space="preserve">من ورقة المصاريف الشهرية (بدون الإيجار لأنه مدفوع سنويًا)</t>
  </si>
  <si>
    <t xml:space="preserve">مساهمة الطلب الواحد</t>
  </si>
  <si>
    <t xml:space="preserve">من ورقة تكلفة البرجر</t>
  </si>
  <si>
    <t xml:space="preserve">أيام التشغيل في الشهر</t>
  </si>
  <si>
    <t xml:space="preserve">طلبات التعادل شهريًا</t>
  </si>
  <si>
    <t xml:space="preserve">طلبات التعادل يوميًا</t>
  </si>
  <si>
    <t xml:space="preserve">صافي إيراد التعادل شهريًا</t>
  </si>
  <si>
    <t xml:space="preserve">بدون ضريبة القيمة المضافة</t>
  </si>
  <si>
    <t xml:space="preserve">طلبات يوميًا</t>
  </si>
  <si>
    <t xml:space="preserve">صافي الإيراد الشهري</t>
  </si>
  <si>
    <t xml:space="preserve">الربح / الخسارة الشهرية</t>
  </si>
  <si>
    <t xml:space="preserve">الربح هنا قبل راتب المالك (متفرغ ومو محسوب في المصاريف)</t>
  </si>
  <si>
    <t xml:space="preserve">غيّر أرقام الطلبات الصفراء كيف ما تبي</t>
  </si>
  <si>
    <t xml:space="preserve">ثلاثة سيناريوهات حسب عدد الطلبات اليومية. أرقام الطلبات افتراضات مبدئية، مو توقعات مؤكدة.</t>
  </si>
  <si>
    <t xml:space="preserve">رأس المال المطلوب للبدء</t>
  </si>
  <si>
    <t xml:space="preserve">من ورقة الملخص (يشمل احتياطي التشغيل)</t>
  </si>
  <si>
    <t xml:space="preserve">تتغير من ورقة نقطة التعادل</t>
  </si>
  <si>
    <t xml:space="preserve">السيناريو</t>
  </si>
  <si>
    <t xml:space="preserve">الربح الصافي الشهري</t>
  </si>
  <si>
    <t xml:space="preserve">أشهر الاسترجاع</t>
  </si>
  <si>
    <t xml:space="preserve">سنوات</t>
  </si>
  <si>
    <t xml:space="preserve">ضعيف</t>
  </si>
  <si>
    <t xml:space="preserve">افتراض: يعتمد على موقعك وزحمة الدرايف ثرو</t>
  </si>
  <si>
    <t xml:space="preserve">متوسط</t>
  </si>
  <si>
    <t xml:space="preserve">قوي</t>
  </si>
  <si>
    <t xml:space="preserve">افتراض: كمان تأكد المطبخ والشباك يتحملون هالحجم</t>
  </si>
  <si>
    <t xml:space="preserve">الحساب يفترض مبيعات ثابتة من أول شهر (بدون فترة تأسيس للزبائن)، وقبل راتب المالك والزكاة/الضريبة.</t>
  </si>
  <si>
    <t xml:space="preserve">رأس المال يشمل احتياطي شهرين ما يُصرف كله لو المشروع ماشي، فالاسترجاع الفعلي أسرع شوي.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</si>
</sst>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ر.س&quot;"/>
    <numFmt numFmtId="166" formatCode="0.00"/>
    <numFmt numFmtId="167" formatCode="#,##0.00&quot; ر.س&quot;"/>
    <numFmt numFmtId="168" formatCode="0.0%"/>
    <numFmt numFmtId="169" formatCode="#,##0"/>
    <numFmt numFmtId="170" formatCode="#,##0&quot; ر.س&quot;;[RED]\-#,##0&quot; ر.س&quot;"/>
    <numFmt numFmtId="171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FreeSans"/>
      <family val="2"/>
      <charset val="1"/>
    </font>
    <font>
      <sz val="11"/>
      <color theme="1"/>
      <name val="FreeSans"/>
      <family val="2"/>
      <charset val="1"/>
    </font>
    <font>
      <b val="true"/>
      <sz val="11"/>
      <color rgb="FFFFFFFF"/>
      <name val="FreeSans"/>
      <family val="2"/>
      <charset val="1"/>
    </font>
    <font>
      <b val="true"/>
      <sz val="12"/>
      <color rgb="FFC00000"/>
      <name val="FreeSans"/>
      <family val="2"/>
      <charset val="1"/>
    </font>
    <font>
      <b val="true"/>
      <sz val="11"/>
      <name val="FreeSans"/>
      <family val="2"/>
      <charset val="1"/>
    </font>
    <font>
      <b val="true"/>
      <sz val="11"/>
      <name val="Cambria"/>
      <family val="0"/>
      <charset val="1"/>
    </font>
    <font>
      <b val="true"/>
      <sz val="13"/>
      <name val="FreeSans"/>
      <family val="2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theme="1"/>
      <name val="FreeSans"/>
      <family val="2"/>
    </font>
    <font>
      <b val="true"/>
      <sz val="14"/>
      <name val="FreeSans"/>
      <family val="0"/>
      <charset val="1"/>
    </font>
    <font>
      <sz val="11"/>
      <name val="FreeSans"/>
      <family val="0"/>
      <charset val="1"/>
    </font>
    <font>
      <b val="true"/>
      <sz val="11"/>
      <color rgb="FFFFFFFF"/>
      <name val="FreeSans"/>
      <family val="0"/>
      <charset val="1"/>
    </font>
    <font>
      <b val="true"/>
      <sz val="11"/>
      <name val="Free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8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34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</row>
    <row r="6" customFormat="false" ht="15" hidden="false" customHeight="true" outlineLevel="0" collapsed="false">
      <c r="A6" s="6" t="s">
        <v>8</v>
      </c>
      <c r="B6" s="7" t="n">
        <v>2</v>
      </c>
      <c r="C6" s="8" t="n">
        <v>5000</v>
      </c>
      <c r="D6" s="9" t="n">
        <f aca="false">B6*C6</f>
        <v>10000</v>
      </c>
      <c r="E6" s="6" t="s">
        <v>9</v>
      </c>
    </row>
    <row r="7" customFormat="false" ht="15" hidden="false" customHeight="true" outlineLevel="0" collapsed="false">
      <c r="A7" s="6" t="s">
        <v>10</v>
      </c>
      <c r="B7" s="7" t="n">
        <v>1</v>
      </c>
      <c r="C7" s="8" t="n">
        <v>4600</v>
      </c>
      <c r="D7" s="9" t="n">
        <f aca="false">B7*C7</f>
        <v>4600</v>
      </c>
      <c r="E7" s="10" t="s">
        <v>11</v>
      </c>
    </row>
    <row r="8" customFormat="false" ht="15" hidden="false" customHeight="true" outlineLevel="0" collapsed="false">
      <c r="A8" s="6" t="s">
        <v>12</v>
      </c>
      <c r="B8" s="7" t="n">
        <v>1</v>
      </c>
      <c r="C8" s="8" t="n">
        <v>9000</v>
      </c>
      <c r="D8" s="9" t="n">
        <f aca="false">B8*C8</f>
        <v>9000</v>
      </c>
      <c r="E8" s="6" t="s">
        <v>13</v>
      </c>
    </row>
    <row r="9" customFormat="false" ht="15" hidden="false" customHeight="true" outlineLevel="0" collapsed="false">
      <c r="A9" s="6" t="s">
        <v>14</v>
      </c>
      <c r="B9" s="7" t="n">
        <v>1</v>
      </c>
      <c r="C9" s="8" t="n">
        <v>4000</v>
      </c>
      <c r="D9" s="9" t="n">
        <f aca="false">B9*C9</f>
        <v>4000</v>
      </c>
      <c r="E9" s="6" t="s">
        <v>15</v>
      </c>
    </row>
    <row r="10" customFormat="false" ht="15" hidden="false" customHeight="true" outlineLevel="0" collapsed="false">
      <c r="A10" s="6" t="s">
        <v>16</v>
      </c>
      <c r="B10" s="7" t="n">
        <v>1</v>
      </c>
      <c r="C10" s="8" t="n">
        <v>3000</v>
      </c>
      <c r="D10" s="9" t="n">
        <f aca="false">B10*C10</f>
        <v>3000</v>
      </c>
      <c r="E10" s="10"/>
    </row>
    <row r="11" customFormat="false" ht="15" hidden="false" customHeight="true" outlineLevel="0" collapsed="false">
      <c r="A11" s="11" t="s">
        <v>17</v>
      </c>
      <c r="B11" s="12"/>
      <c r="C11" s="12"/>
      <c r="D11" s="13" t="n">
        <f aca="false">SUM(D6:D10)</f>
        <v>30600</v>
      </c>
      <c r="E11" s="12"/>
    </row>
    <row r="13" customFormat="false" ht="15" hidden="false" customHeight="true" outlineLevel="0" collapsed="false">
      <c r="A13" s="5" t="s">
        <v>18</v>
      </c>
    </row>
    <row r="14" customFormat="false" ht="25.5" hidden="false" customHeight="true" outlineLevel="0" collapsed="false">
      <c r="A14" s="6" t="s">
        <v>19</v>
      </c>
      <c r="B14" s="7" t="n">
        <v>1</v>
      </c>
      <c r="C14" s="8" t="n">
        <v>9460</v>
      </c>
      <c r="D14" s="9" t="n">
        <f aca="false">B14*C14</f>
        <v>9460</v>
      </c>
      <c r="E14" s="6" t="s">
        <v>20</v>
      </c>
    </row>
    <row r="15" customFormat="false" ht="15" hidden="false" customHeight="true" outlineLevel="0" collapsed="false">
      <c r="A15" s="6" t="s">
        <v>21</v>
      </c>
      <c r="B15" s="7" t="n">
        <v>1</v>
      </c>
      <c r="C15" s="8" t="n">
        <v>2500</v>
      </c>
      <c r="D15" s="9" t="n">
        <f aca="false">B15*C15</f>
        <v>2500</v>
      </c>
      <c r="E15" s="10"/>
    </row>
    <row r="16" customFormat="false" ht="15" hidden="false" customHeight="true" outlineLevel="0" collapsed="false">
      <c r="A16" s="6" t="s">
        <v>22</v>
      </c>
      <c r="B16" s="7" t="n">
        <v>1</v>
      </c>
      <c r="C16" s="8" t="n">
        <v>500</v>
      </c>
      <c r="D16" s="9" t="n">
        <f aca="false">B16*C16</f>
        <v>500</v>
      </c>
      <c r="E16" s="10"/>
    </row>
    <row r="17" customFormat="false" ht="15" hidden="false" customHeight="true" outlineLevel="0" collapsed="false">
      <c r="A17" s="6" t="s">
        <v>23</v>
      </c>
      <c r="B17" s="7" t="n">
        <v>1</v>
      </c>
      <c r="C17" s="8" t="n">
        <v>900</v>
      </c>
      <c r="D17" s="9" t="n">
        <f aca="false">B17*C17</f>
        <v>900</v>
      </c>
      <c r="E17" s="10"/>
    </row>
    <row r="18" customFormat="false" ht="15" hidden="false" customHeight="true" outlineLevel="0" collapsed="false">
      <c r="A18" s="11" t="s">
        <v>24</v>
      </c>
      <c r="B18" s="12"/>
      <c r="C18" s="12"/>
      <c r="D18" s="13" t="n">
        <f aca="false">SUM(D14:D17)</f>
        <v>13360</v>
      </c>
      <c r="E18" s="12"/>
    </row>
    <row r="20" customFormat="false" ht="15" hidden="false" customHeight="true" outlineLevel="0" collapsed="false">
      <c r="A20" s="5" t="s">
        <v>25</v>
      </c>
    </row>
    <row r="21" customFormat="false" ht="15" hidden="false" customHeight="true" outlineLevel="0" collapsed="false">
      <c r="A21" s="6" t="s">
        <v>26</v>
      </c>
      <c r="B21" s="7" t="n">
        <v>1</v>
      </c>
      <c r="C21" s="8" t="n">
        <v>1200</v>
      </c>
      <c r="D21" s="9" t="n">
        <f aca="false">B21*C21</f>
        <v>1200</v>
      </c>
      <c r="E21" s="6" t="s">
        <v>27</v>
      </c>
    </row>
    <row r="22" customFormat="false" ht="15" hidden="false" customHeight="true" outlineLevel="0" collapsed="false">
      <c r="A22" s="6" t="s">
        <v>28</v>
      </c>
      <c r="B22" s="7" t="n">
        <v>1</v>
      </c>
      <c r="C22" s="8" t="n">
        <v>700</v>
      </c>
      <c r="D22" s="9" t="n">
        <f aca="false">B22*C22</f>
        <v>700</v>
      </c>
      <c r="E22" s="6" t="s">
        <v>29</v>
      </c>
    </row>
    <row r="23" customFormat="false" ht="15" hidden="false" customHeight="true" outlineLevel="0" collapsed="false">
      <c r="A23" s="6" t="s">
        <v>30</v>
      </c>
      <c r="B23" s="7" t="n">
        <v>1</v>
      </c>
      <c r="C23" s="8" t="n">
        <v>3500</v>
      </c>
      <c r="D23" s="9" t="n">
        <f aca="false">B23*C23</f>
        <v>3500</v>
      </c>
      <c r="E23" s="6" t="s">
        <v>31</v>
      </c>
    </row>
    <row r="24" customFormat="false" ht="15" hidden="false" customHeight="true" outlineLevel="0" collapsed="false">
      <c r="A24" s="6" t="s">
        <v>32</v>
      </c>
      <c r="B24" s="7" t="n">
        <v>1</v>
      </c>
      <c r="C24" s="8" t="n">
        <v>1500</v>
      </c>
      <c r="D24" s="9" t="n">
        <f aca="false">B24*C24</f>
        <v>1500</v>
      </c>
      <c r="E24" s="6" t="s">
        <v>33</v>
      </c>
    </row>
    <row r="25" customFormat="false" ht="15" hidden="false" customHeight="true" outlineLevel="0" collapsed="false">
      <c r="A25" s="6" t="s">
        <v>34</v>
      </c>
      <c r="B25" s="7" t="n">
        <v>1</v>
      </c>
      <c r="C25" s="8" t="n">
        <v>800</v>
      </c>
      <c r="D25" s="9" t="n">
        <f aca="false">B25*C25</f>
        <v>800</v>
      </c>
      <c r="E25" s="10"/>
    </row>
    <row r="26" customFormat="false" ht="15" hidden="false" customHeight="true" outlineLevel="0" collapsed="false">
      <c r="A26" s="6" t="s">
        <v>35</v>
      </c>
      <c r="B26" s="7" t="n">
        <v>1</v>
      </c>
      <c r="C26" s="8" t="n">
        <v>600</v>
      </c>
      <c r="D26" s="9" t="n">
        <f aca="false">B26*C26</f>
        <v>600</v>
      </c>
      <c r="E26" s="10"/>
    </row>
    <row r="27" customFormat="false" ht="15" hidden="false" customHeight="true" outlineLevel="0" collapsed="false">
      <c r="A27" s="6" t="s">
        <v>36</v>
      </c>
      <c r="B27" s="7" t="n">
        <v>1</v>
      </c>
      <c r="C27" s="8" t="n">
        <v>400</v>
      </c>
      <c r="D27" s="9" t="n">
        <f aca="false">B27*C27</f>
        <v>400</v>
      </c>
      <c r="E27" s="10"/>
    </row>
    <row r="28" customFormat="false" ht="15" hidden="false" customHeight="true" outlineLevel="0" collapsed="false">
      <c r="A28" s="6" t="s">
        <v>37</v>
      </c>
      <c r="B28" s="7" t="n">
        <v>1</v>
      </c>
      <c r="C28" s="8" t="n">
        <v>300</v>
      </c>
      <c r="D28" s="9" t="n">
        <f aca="false">B28*C28</f>
        <v>300</v>
      </c>
      <c r="E28" s="10"/>
    </row>
    <row r="29" customFormat="false" ht="15" hidden="false" customHeight="true" outlineLevel="0" collapsed="false">
      <c r="A29" s="6" t="s">
        <v>38</v>
      </c>
      <c r="B29" s="7" t="n">
        <v>1</v>
      </c>
      <c r="C29" s="8" t="n">
        <v>500</v>
      </c>
      <c r="D29" s="9" t="n">
        <f aca="false">B29*C29</f>
        <v>500</v>
      </c>
      <c r="E29" s="10"/>
    </row>
    <row r="30" customFormat="false" ht="15" hidden="false" customHeight="true" outlineLevel="0" collapsed="false">
      <c r="A30" s="11" t="s">
        <v>39</v>
      </c>
      <c r="B30" s="12"/>
      <c r="C30" s="12"/>
      <c r="D30" s="13" t="n">
        <f aca="false">SUM(D21:D29)</f>
        <v>9500</v>
      </c>
      <c r="E30" s="12"/>
    </row>
    <row r="32" customFormat="false" ht="15" hidden="false" customHeight="true" outlineLevel="0" collapsed="false">
      <c r="A32" s="5" t="s">
        <v>40</v>
      </c>
    </row>
    <row r="33" customFormat="false" ht="15" hidden="false" customHeight="true" outlineLevel="0" collapsed="false">
      <c r="A33" s="6" t="s">
        <v>41</v>
      </c>
      <c r="B33" s="7" t="n">
        <v>1</v>
      </c>
      <c r="C33" s="8" t="n">
        <v>2200</v>
      </c>
      <c r="D33" s="9" t="n">
        <f aca="false">B33*C33</f>
        <v>2200</v>
      </c>
      <c r="E33" s="10"/>
    </row>
    <row r="34" customFormat="false" ht="15" hidden="false" customHeight="true" outlineLevel="0" collapsed="false">
      <c r="A34" s="6" t="s">
        <v>42</v>
      </c>
      <c r="B34" s="7" t="n">
        <v>1</v>
      </c>
      <c r="C34" s="8" t="n">
        <v>800</v>
      </c>
      <c r="D34" s="9" t="n">
        <f aca="false">B34*C34</f>
        <v>800</v>
      </c>
      <c r="E34" s="10"/>
    </row>
    <row r="35" customFormat="false" ht="15" hidden="false" customHeight="true" outlineLevel="0" collapsed="false">
      <c r="A35" s="6" t="s">
        <v>43</v>
      </c>
      <c r="B35" s="7" t="n">
        <v>1</v>
      </c>
      <c r="C35" s="8" t="n">
        <v>500</v>
      </c>
      <c r="D35" s="9" t="n">
        <f aca="false">B35*C35</f>
        <v>500</v>
      </c>
      <c r="E35" s="10"/>
    </row>
    <row r="36" customFormat="false" ht="15" hidden="false" customHeight="true" outlineLevel="0" collapsed="false">
      <c r="A36" s="6" t="s">
        <v>44</v>
      </c>
      <c r="B36" s="7" t="n">
        <v>1</v>
      </c>
      <c r="C36" s="8" t="n">
        <v>1000</v>
      </c>
      <c r="D36" s="9" t="n">
        <f aca="false">B36*C36</f>
        <v>1000</v>
      </c>
      <c r="E36" s="10"/>
    </row>
    <row r="37" customFormat="false" ht="15" hidden="false" customHeight="true" outlineLevel="0" collapsed="false">
      <c r="A37" s="6" t="s">
        <v>45</v>
      </c>
      <c r="B37" s="7" t="n">
        <v>1</v>
      </c>
      <c r="C37" s="8" t="n">
        <v>1500</v>
      </c>
      <c r="D37" s="9" t="n">
        <f aca="false">B37*C37</f>
        <v>1500</v>
      </c>
      <c r="E37" s="6" t="s">
        <v>46</v>
      </c>
    </row>
    <row r="38" customFormat="false" ht="15" hidden="false" customHeight="true" outlineLevel="0" collapsed="false">
      <c r="A38" s="6" t="s">
        <v>47</v>
      </c>
      <c r="B38" s="7" t="n">
        <v>1</v>
      </c>
      <c r="C38" s="8" t="n">
        <v>800</v>
      </c>
      <c r="D38" s="9" t="n">
        <f aca="false">B38*C38</f>
        <v>800</v>
      </c>
      <c r="E38" s="10"/>
    </row>
    <row r="39" customFormat="false" ht="15" hidden="false" customHeight="true" outlineLevel="0" collapsed="false">
      <c r="A39" s="11" t="s">
        <v>48</v>
      </c>
      <c r="B39" s="12"/>
      <c r="C39" s="12"/>
      <c r="D39" s="13" t="n">
        <f aca="false">SUM(D33:D38)</f>
        <v>6800</v>
      </c>
      <c r="E39" s="12"/>
    </row>
    <row r="41" customFormat="false" ht="15" hidden="false" customHeight="true" outlineLevel="0" collapsed="false">
      <c r="A41" s="5" t="s">
        <v>49</v>
      </c>
    </row>
    <row r="42" customFormat="false" ht="15" hidden="false" customHeight="true" outlineLevel="0" collapsed="false">
      <c r="A42" s="6" t="s">
        <v>50</v>
      </c>
      <c r="B42" s="7" t="n">
        <v>3</v>
      </c>
      <c r="C42" s="8" t="n">
        <v>2400</v>
      </c>
      <c r="D42" s="9" t="n">
        <f aca="false">B42*C42</f>
        <v>7200</v>
      </c>
      <c r="E42" s="6" t="s">
        <v>51</v>
      </c>
    </row>
    <row r="43" customFormat="false" ht="15" hidden="false" customHeight="true" outlineLevel="0" collapsed="false">
      <c r="A43" s="6" t="s">
        <v>52</v>
      </c>
      <c r="B43" s="7" t="n">
        <v>8</v>
      </c>
      <c r="C43" s="8" t="n">
        <v>120</v>
      </c>
      <c r="D43" s="9" t="n">
        <f aca="false">B43*C43</f>
        <v>960</v>
      </c>
      <c r="E43" s="10"/>
    </row>
    <row r="44" customFormat="false" ht="15" hidden="false" customHeight="true" outlineLevel="0" collapsed="false">
      <c r="A44" s="6" t="s">
        <v>53</v>
      </c>
      <c r="B44" s="7" t="n">
        <v>1</v>
      </c>
      <c r="C44" s="8" t="n">
        <v>1500</v>
      </c>
      <c r="D44" s="9" t="n">
        <f aca="false">B44*C44</f>
        <v>1500</v>
      </c>
      <c r="E44" s="10"/>
    </row>
    <row r="45" customFormat="false" ht="15" hidden="false" customHeight="true" outlineLevel="0" collapsed="false">
      <c r="A45" s="11" t="s">
        <v>54</v>
      </c>
      <c r="B45" s="12"/>
      <c r="C45" s="12"/>
      <c r="D45" s="13" t="n">
        <f aca="false">SUM(D42:D44)</f>
        <v>9660</v>
      </c>
      <c r="E45" s="12"/>
    </row>
    <row r="47" customFormat="false" ht="15" hidden="false" customHeight="true" outlineLevel="0" collapsed="false">
      <c r="A47" s="5" t="s">
        <v>55</v>
      </c>
    </row>
    <row r="48" customFormat="false" ht="15" hidden="false" customHeight="true" outlineLevel="0" collapsed="false">
      <c r="A48" s="6" t="s">
        <v>56</v>
      </c>
      <c r="B48" s="7" t="n">
        <v>8</v>
      </c>
      <c r="C48" s="8" t="n">
        <v>100</v>
      </c>
      <c r="D48" s="9" t="n">
        <f aca="false">B48*C48</f>
        <v>800</v>
      </c>
      <c r="E48" s="6" t="s">
        <v>57</v>
      </c>
    </row>
    <row r="49" customFormat="false" ht="15" hidden="false" customHeight="true" outlineLevel="0" collapsed="false">
      <c r="A49" s="11" t="s">
        <v>58</v>
      </c>
      <c r="B49" s="12"/>
      <c r="C49" s="12"/>
      <c r="D49" s="13" t="n">
        <f aca="false">SUM(D48:D48)</f>
        <v>800</v>
      </c>
      <c r="E49" s="12"/>
    </row>
    <row r="51" customFormat="false" ht="15" hidden="false" customHeight="true" outlineLevel="0" collapsed="false">
      <c r="A51" s="5" t="s">
        <v>59</v>
      </c>
    </row>
    <row r="52" customFormat="false" ht="15" hidden="false" customHeight="true" outlineLevel="0" collapsed="false">
      <c r="A52" s="6" t="s">
        <v>60</v>
      </c>
      <c r="B52" s="7" t="n">
        <v>1</v>
      </c>
      <c r="C52" s="8" t="n">
        <v>13000</v>
      </c>
      <c r="D52" s="9" t="n">
        <f aca="false">B52*C52</f>
        <v>13000</v>
      </c>
      <c r="E52" s="6" t="s">
        <v>61</v>
      </c>
    </row>
    <row r="53" customFormat="false" ht="15" hidden="false" customHeight="true" outlineLevel="0" collapsed="false">
      <c r="A53" s="6" t="s">
        <v>62</v>
      </c>
      <c r="B53" s="7" t="n">
        <v>1</v>
      </c>
      <c r="C53" s="8" t="n">
        <v>17000</v>
      </c>
      <c r="D53" s="9" t="n">
        <f aca="false">B53*C53</f>
        <v>17000</v>
      </c>
      <c r="E53" s="6" t="s">
        <v>63</v>
      </c>
    </row>
    <row r="54" customFormat="false" ht="15" hidden="false" customHeight="true" outlineLevel="0" collapsed="false">
      <c r="A54" s="6" t="s">
        <v>64</v>
      </c>
      <c r="B54" s="7" t="n">
        <v>1</v>
      </c>
      <c r="C54" s="8" t="n">
        <v>5000</v>
      </c>
      <c r="D54" s="9" t="n">
        <f aca="false">B54*C54</f>
        <v>5000</v>
      </c>
      <c r="E54" s="10"/>
    </row>
    <row r="55" customFormat="false" ht="15" hidden="false" customHeight="true" outlineLevel="0" collapsed="false">
      <c r="A55" s="6" t="s">
        <v>65</v>
      </c>
      <c r="B55" s="7" t="n">
        <v>1</v>
      </c>
      <c r="C55" s="8" t="n">
        <v>1000</v>
      </c>
      <c r="D55" s="9" t="n">
        <f aca="false">B55*C55</f>
        <v>1000</v>
      </c>
      <c r="E55" s="10"/>
    </row>
    <row r="56" customFormat="false" ht="15" hidden="false" customHeight="true" outlineLevel="0" collapsed="false">
      <c r="A56" s="6" t="s">
        <v>66</v>
      </c>
      <c r="B56" s="7" t="n">
        <v>1</v>
      </c>
      <c r="C56" s="8" t="n">
        <v>3500</v>
      </c>
      <c r="D56" s="9" t="n">
        <f aca="false">B56*C56</f>
        <v>3500</v>
      </c>
      <c r="E56" s="10"/>
    </row>
    <row r="57" customFormat="false" ht="15" hidden="false" customHeight="true" outlineLevel="0" collapsed="false">
      <c r="A57" s="6" t="s">
        <v>67</v>
      </c>
      <c r="B57" s="7" t="n">
        <v>1</v>
      </c>
      <c r="C57" s="8" t="n">
        <v>2500</v>
      </c>
      <c r="D57" s="9" t="n">
        <f aca="false">B57*C57</f>
        <v>2500</v>
      </c>
      <c r="E57" s="10"/>
    </row>
    <row r="58" customFormat="false" ht="15" hidden="false" customHeight="true" outlineLevel="0" collapsed="false">
      <c r="A58" s="6" t="s">
        <v>68</v>
      </c>
      <c r="B58" s="7" t="n">
        <v>1</v>
      </c>
      <c r="C58" s="8" t="n">
        <v>1250</v>
      </c>
      <c r="D58" s="9" t="n">
        <f aca="false">B58*C58</f>
        <v>1250</v>
      </c>
      <c r="E58" s="10"/>
    </row>
    <row r="59" customFormat="false" ht="15" hidden="false" customHeight="true" outlineLevel="0" collapsed="false">
      <c r="A59" s="6" t="s">
        <v>69</v>
      </c>
      <c r="B59" s="7" t="n">
        <v>1</v>
      </c>
      <c r="C59" s="8" t="n">
        <v>500</v>
      </c>
      <c r="D59" s="9" t="n">
        <f aca="false">B59*C59</f>
        <v>500</v>
      </c>
      <c r="E59" s="10"/>
    </row>
    <row r="60" customFormat="false" ht="15" hidden="false" customHeight="true" outlineLevel="0" collapsed="false">
      <c r="A60" s="6" t="s">
        <v>70</v>
      </c>
      <c r="B60" s="7" t="n">
        <v>1</v>
      </c>
      <c r="C60" s="8" t="n">
        <v>3000</v>
      </c>
      <c r="D60" s="9" t="n">
        <f aca="false">B60*C60</f>
        <v>3000</v>
      </c>
      <c r="E60" s="10"/>
    </row>
    <row r="61" customFormat="false" ht="15" hidden="false" customHeight="true" outlineLevel="0" collapsed="false">
      <c r="A61" s="11" t="s">
        <v>71</v>
      </c>
      <c r="B61" s="12"/>
      <c r="C61" s="12"/>
      <c r="D61" s="13" t="n">
        <f aca="false">SUM(D52:D60)</f>
        <v>46750</v>
      </c>
      <c r="E61" s="12"/>
    </row>
    <row r="63" customFormat="false" ht="15" hidden="false" customHeight="true" outlineLevel="0" collapsed="false">
      <c r="A63" s="5" t="s">
        <v>72</v>
      </c>
    </row>
    <row r="64" customFormat="false" ht="15" hidden="false" customHeight="true" outlineLevel="0" collapsed="false">
      <c r="A64" s="6" t="s">
        <v>73</v>
      </c>
      <c r="B64" s="7" t="n">
        <v>1</v>
      </c>
      <c r="C64" s="8" t="n">
        <v>1500</v>
      </c>
      <c r="D64" s="9" t="n">
        <f aca="false">B64*C64</f>
        <v>1500</v>
      </c>
      <c r="E64" s="10"/>
    </row>
    <row r="65" customFormat="false" ht="15" hidden="false" customHeight="true" outlineLevel="0" collapsed="false">
      <c r="A65" s="6" t="s">
        <v>74</v>
      </c>
      <c r="B65" s="7" t="n">
        <v>1</v>
      </c>
      <c r="C65" s="8" t="n">
        <v>2000</v>
      </c>
      <c r="D65" s="9" t="n">
        <f aca="false">B65*C65</f>
        <v>2000</v>
      </c>
      <c r="E65" s="6" t="s">
        <v>75</v>
      </c>
    </row>
    <row r="66" customFormat="false" ht="15" hidden="false" customHeight="true" outlineLevel="0" collapsed="false">
      <c r="A66" s="6" t="s">
        <v>76</v>
      </c>
      <c r="B66" s="7" t="n">
        <v>1</v>
      </c>
      <c r="C66" s="8" t="n">
        <v>1000</v>
      </c>
      <c r="D66" s="9" t="n">
        <f aca="false">B66*C66</f>
        <v>1000</v>
      </c>
      <c r="E66" s="10"/>
    </row>
    <row r="67" customFormat="false" ht="15" hidden="false" customHeight="true" outlineLevel="0" collapsed="false">
      <c r="A67" s="6" t="s">
        <v>77</v>
      </c>
      <c r="B67" s="7" t="n">
        <v>4</v>
      </c>
      <c r="C67" s="8" t="n">
        <v>300</v>
      </c>
      <c r="D67" s="9" t="n">
        <f aca="false">B67*C67</f>
        <v>1200</v>
      </c>
      <c r="E67" s="10"/>
    </row>
    <row r="68" customFormat="false" ht="15" hidden="false" customHeight="true" outlineLevel="0" collapsed="false">
      <c r="A68" s="11" t="s">
        <v>78</v>
      </c>
      <c r="B68" s="12"/>
      <c r="C68" s="12"/>
      <c r="D68" s="13" t="n">
        <f aca="false">SUM(D64:D67)</f>
        <v>5700</v>
      </c>
      <c r="E68" s="12"/>
    </row>
    <row r="70" customFormat="false" ht="15" hidden="false" customHeight="true" outlineLevel="0" collapsed="false">
      <c r="A70" s="5" t="s">
        <v>79</v>
      </c>
    </row>
    <row r="71" customFormat="false" ht="15" hidden="false" customHeight="true" outlineLevel="0" collapsed="false">
      <c r="A71" s="6" t="s">
        <v>80</v>
      </c>
      <c r="B71" s="7" t="n">
        <v>1</v>
      </c>
      <c r="C71" s="8" t="n">
        <v>20000</v>
      </c>
      <c r="D71" s="9" t="n">
        <f aca="false">B71*C71</f>
        <v>20000</v>
      </c>
      <c r="E71" s="6" t="s">
        <v>81</v>
      </c>
    </row>
    <row r="72" customFormat="false" ht="15" hidden="false" customHeight="true" outlineLevel="0" collapsed="false">
      <c r="A72" s="6" t="s">
        <v>82</v>
      </c>
      <c r="B72" s="7" t="n">
        <v>1</v>
      </c>
      <c r="C72" s="8" t="n">
        <v>4000</v>
      </c>
      <c r="D72" s="9" t="n">
        <f aca="false">B72*C72</f>
        <v>4000</v>
      </c>
      <c r="E72" s="10"/>
    </row>
    <row r="73" customFormat="false" ht="15" hidden="false" customHeight="true" outlineLevel="0" collapsed="false">
      <c r="A73" s="6" t="s">
        <v>83</v>
      </c>
      <c r="B73" s="7" t="n">
        <v>1</v>
      </c>
      <c r="C73" s="8" t="n">
        <v>1000</v>
      </c>
      <c r="D73" s="9" t="n">
        <f aca="false">B73*C73</f>
        <v>1000</v>
      </c>
      <c r="E73" s="10"/>
    </row>
    <row r="74" customFormat="false" ht="15" hidden="false" customHeight="true" outlineLevel="0" collapsed="false">
      <c r="A74" s="6" t="s">
        <v>84</v>
      </c>
      <c r="B74" s="7" t="n">
        <v>1</v>
      </c>
      <c r="C74" s="8" t="n">
        <v>1300</v>
      </c>
      <c r="D74" s="9" t="n">
        <f aca="false">B74*C74</f>
        <v>1300</v>
      </c>
      <c r="E74" s="10"/>
    </row>
    <row r="75" customFormat="false" ht="15" hidden="false" customHeight="true" outlineLevel="0" collapsed="false">
      <c r="A75" s="6" t="s">
        <v>85</v>
      </c>
      <c r="B75" s="7" t="n">
        <v>1</v>
      </c>
      <c r="C75" s="8" t="n">
        <v>1000</v>
      </c>
      <c r="D75" s="9" t="n">
        <f aca="false">B75*C75</f>
        <v>1000</v>
      </c>
      <c r="E75" s="10"/>
    </row>
    <row r="76" customFormat="false" ht="15" hidden="false" customHeight="true" outlineLevel="0" collapsed="false">
      <c r="A76" s="6" t="s">
        <v>86</v>
      </c>
      <c r="B76" s="7" t="n">
        <v>1</v>
      </c>
      <c r="C76" s="8" t="n">
        <v>700</v>
      </c>
      <c r="D76" s="9" t="n">
        <f aca="false">B76*C76</f>
        <v>700</v>
      </c>
      <c r="E76" s="10"/>
    </row>
    <row r="77" customFormat="false" ht="15" hidden="false" customHeight="true" outlineLevel="0" collapsed="false">
      <c r="A77" s="6" t="s">
        <v>87</v>
      </c>
      <c r="B77" s="7" t="n">
        <v>1</v>
      </c>
      <c r="C77" s="8" t="n">
        <v>800</v>
      </c>
      <c r="D77" s="9" t="n">
        <f aca="false">B77*C77</f>
        <v>800</v>
      </c>
      <c r="E77" s="10"/>
    </row>
    <row r="78" customFormat="false" ht="15" hidden="false" customHeight="true" outlineLevel="0" collapsed="false">
      <c r="A78" s="6" t="s">
        <v>88</v>
      </c>
      <c r="B78" s="7" t="n">
        <v>1</v>
      </c>
      <c r="C78" s="8" t="n">
        <v>1200</v>
      </c>
      <c r="D78" s="9" t="n">
        <f aca="false">B78*C78</f>
        <v>1200</v>
      </c>
      <c r="E78" s="10"/>
    </row>
    <row r="79" customFormat="false" ht="15" hidden="false" customHeight="true" outlineLevel="0" collapsed="false">
      <c r="A79" s="6" t="s">
        <v>89</v>
      </c>
      <c r="B79" s="7" t="n">
        <v>1</v>
      </c>
      <c r="C79" s="8" t="n">
        <v>800</v>
      </c>
      <c r="D79" s="9" t="n">
        <f aca="false">B79*C79</f>
        <v>800</v>
      </c>
      <c r="E79" s="10"/>
    </row>
    <row r="80" customFormat="false" ht="15" hidden="false" customHeight="true" outlineLevel="0" collapsed="false">
      <c r="A80" s="6" t="s">
        <v>90</v>
      </c>
      <c r="B80" s="7" t="n">
        <v>1</v>
      </c>
      <c r="C80" s="8" t="n">
        <v>600</v>
      </c>
      <c r="D80" s="9" t="n">
        <f aca="false">B80*C80</f>
        <v>600</v>
      </c>
      <c r="E80" s="10"/>
    </row>
    <row r="81" customFormat="false" ht="15" hidden="false" customHeight="true" outlineLevel="0" collapsed="false">
      <c r="A81" s="6" t="s">
        <v>91</v>
      </c>
      <c r="B81" s="7" t="n">
        <v>1</v>
      </c>
      <c r="C81" s="8" t="n">
        <v>400</v>
      </c>
      <c r="D81" s="9" t="n">
        <f aca="false">B81*C81</f>
        <v>400</v>
      </c>
      <c r="E81" s="10"/>
    </row>
    <row r="82" customFormat="false" ht="15" hidden="false" customHeight="true" outlineLevel="0" collapsed="false">
      <c r="A82" s="6" t="s">
        <v>92</v>
      </c>
      <c r="B82" s="7" t="n">
        <v>1</v>
      </c>
      <c r="C82" s="8" t="n">
        <v>500</v>
      </c>
      <c r="D82" s="9" t="n">
        <f aca="false">B82*C82</f>
        <v>500</v>
      </c>
      <c r="E82" s="10"/>
    </row>
    <row r="83" customFormat="false" ht="15" hidden="false" customHeight="true" outlineLevel="0" collapsed="false">
      <c r="A83" s="6" t="s">
        <v>93</v>
      </c>
      <c r="B83" s="7" t="n">
        <v>1</v>
      </c>
      <c r="C83" s="8" t="n">
        <v>400</v>
      </c>
      <c r="D83" s="9" t="n">
        <f aca="false">B83*C83</f>
        <v>400</v>
      </c>
      <c r="E83" s="10"/>
    </row>
    <row r="84" customFormat="false" ht="15" hidden="false" customHeight="true" outlineLevel="0" collapsed="false">
      <c r="A84" s="6" t="s">
        <v>94</v>
      </c>
      <c r="B84" s="7" t="n">
        <v>1</v>
      </c>
      <c r="C84" s="8" t="n">
        <v>300</v>
      </c>
      <c r="D84" s="9" t="n">
        <f aca="false">B84*C84</f>
        <v>300</v>
      </c>
      <c r="E84" s="10"/>
    </row>
    <row r="85" customFormat="false" ht="15" hidden="false" customHeight="true" outlineLevel="0" collapsed="false">
      <c r="A85" s="6" t="s">
        <v>95</v>
      </c>
      <c r="B85" s="7" t="n">
        <v>1</v>
      </c>
      <c r="C85" s="8" t="n">
        <v>3000</v>
      </c>
      <c r="D85" s="9" t="n">
        <f aca="false">B85*C85</f>
        <v>3000</v>
      </c>
      <c r="E85" s="10"/>
    </row>
    <row r="86" customFormat="false" ht="15" hidden="false" customHeight="true" outlineLevel="0" collapsed="false">
      <c r="A86" s="6" t="s">
        <v>96</v>
      </c>
      <c r="B86" s="7" t="n">
        <v>1</v>
      </c>
      <c r="C86" s="8" t="n">
        <v>1500</v>
      </c>
      <c r="D86" s="9" t="n">
        <f aca="false">B86*C86</f>
        <v>1500</v>
      </c>
      <c r="E86" s="10"/>
    </row>
    <row r="87" customFormat="false" ht="15" hidden="false" customHeight="true" outlineLevel="0" collapsed="false">
      <c r="A87" s="6" t="s">
        <v>97</v>
      </c>
      <c r="B87" s="7" t="n">
        <v>1</v>
      </c>
      <c r="C87" s="8" t="n">
        <v>500</v>
      </c>
      <c r="D87" s="9" t="n">
        <f aca="false">B87*C87</f>
        <v>500</v>
      </c>
      <c r="E87" s="10"/>
    </row>
    <row r="88" customFormat="false" ht="15" hidden="false" customHeight="true" outlineLevel="0" collapsed="false">
      <c r="A88" s="11" t="s">
        <v>98</v>
      </c>
      <c r="B88" s="12"/>
      <c r="C88" s="12"/>
      <c r="D88" s="13" t="n">
        <f aca="false">SUM(D71:D87)</f>
        <v>38000</v>
      </c>
      <c r="E88" s="12"/>
    </row>
    <row r="90" customFormat="false" ht="15" hidden="false" customHeight="true" outlineLevel="0" collapsed="false">
      <c r="A90" s="5" t="s">
        <v>99</v>
      </c>
    </row>
    <row r="91" customFormat="false" ht="15" hidden="false" customHeight="true" outlineLevel="0" collapsed="false">
      <c r="A91" s="6" t="s">
        <v>100</v>
      </c>
      <c r="B91" s="7" t="n">
        <v>1</v>
      </c>
      <c r="C91" s="8" t="n">
        <v>1200</v>
      </c>
      <c r="D91" s="9" t="n">
        <f aca="false">B91*C91</f>
        <v>1200</v>
      </c>
      <c r="E91" s="6" t="s">
        <v>101</v>
      </c>
    </row>
    <row r="92" customFormat="false" ht="15" hidden="false" customHeight="true" outlineLevel="0" collapsed="false">
      <c r="A92" s="11" t="s">
        <v>102</v>
      </c>
      <c r="B92" s="12"/>
      <c r="C92" s="12"/>
      <c r="D92" s="13" t="n">
        <f aca="false">SUM(D91:D91)</f>
        <v>1200</v>
      </c>
      <c r="E92" s="12"/>
    </row>
    <row r="94" customFormat="false" ht="15.75" hidden="false" customHeight="true" outlineLevel="0" collapsed="false">
      <c r="A94" s="14" t="s">
        <v>103</v>
      </c>
      <c r="D94" s="15" t="n">
        <f aca="false">D11+D18+D30+D39+D45+D49+D61+D68+D88+D92</f>
        <v>162370</v>
      </c>
    </row>
    <row r="97" customFormat="false" ht="15" hidden="false" customHeight="true" outlineLevel="0" collapsed="false">
      <c r="A97" s="5" t="s">
        <v>104</v>
      </c>
    </row>
    <row r="98" customFormat="false" ht="15" hidden="false" customHeight="true" outlineLevel="0" collapsed="false">
      <c r="A98" s="16" t="s">
        <v>105</v>
      </c>
      <c r="B98" s="17"/>
      <c r="C98" s="17"/>
      <c r="D98" s="18" t="n">
        <v>8500</v>
      </c>
      <c r="E98" s="17"/>
    </row>
    <row r="99" customFormat="false" ht="15" hidden="false" customHeight="true" outlineLevel="0" collapsed="false">
      <c r="A99" s="16" t="s">
        <v>106</v>
      </c>
      <c r="B99" s="17"/>
      <c r="C99" s="17"/>
      <c r="D99" s="18" t="n">
        <v>1600</v>
      </c>
      <c r="E99" s="17"/>
    </row>
    <row r="100" customFormat="false" ht="15" hidden="false" customHeight="true" outlineLevel="0" collapsed="false">
      <c r="A100" s="16" t="s">
        <v>107</v>
      </c>
      <c r="B100" s="17"/>
      <c r="C100" s="17"/>
      <c r="D100" s="18" t="n">
        <v>1600</v>
      </c>
      <c r="E100" s="17"/>
    </row>
    <row r="101" customFormat="false" ht="15" hidden="false" customHeight="true" outlineLevel="0" collapsed="false">
      <c r="A101" s="16" t="s">
        <v>108</v>
      </c>
      <c r="B101" s="17"/>
      <c r="C101" s="17"/>
      <c r="D101" s="18" t="n">
        <v>500</v>
      </c>
      <c r="E101" s="17"/>
    </row>
    <row r="102" customFormat="false" ht="15" hidden="false" customHeight="true" outlineLevel="0" collapsed="false">
      <c r="A102" s="16" t="s">
        <v>109</v>
      </c>
      <c r="B102" s="17"/>
      <c r="C102" s="17"/>
      <c r="D102" s="18" t="n">
        <v>170</v>
      </c>
      <c r="E102" s="17"/>
    </row>
    <row r="103" customFormat="false" ht="15" hidden="false" customHeight="true" outlineLevel="0" collapsed="false">
      <c r="A103" s="16" t="s">
        <v>110</v>
      </c>
      <c r="B103" s="17"/>
      <c r="C103" s="17"/>
      <c r="D103" s="18" t="n">
        <v>3000</v>
      </c>
      <c r="E103" s="17"/>
    </row>
    <row r="104" customFormat="false" ht="15" hidden="false" customHeight="true" outlineLevel="0" collapsed="false">
      <c r="A104" s="16" t="s">
        <v>111</v>
      </c>
      <c r="B104" s="17"/>
      <c r="C104" s="17"/>
      <c r="D104" s="18" t="n">
        <v>400</v>
      </c>
      <c r="E104" s="17"/>
    </row>
    <row r="105" customFormat="false" ht="15" hidden="false" customHeight="true" outlineLevel="0" collapsed="false">
      <c r="A105" s="16" t="s">
        <v>112</v>
      </c>
      <c r="B105" s="17"/>
      <c r="C105" s="17"/>
      <c r="D105" s="18" t="n">
        <v>2000</v>
      </c>
      <c r="E105" s="17"/>
    </row>
    <row r="106" customFormat="false" ht="15" hidden="false" customHeight="true" outlineLevel="0" collapsed="false">
      <c r="A106" s="16" t="s">
        <v>113</v>
      </c>
      <c r="B106" s="17"/>
      <c r="C106" s="17"/>
      <c r="D106" s="18" t="n">
        <v>500</v>
      </c>
      <c r="E106" s="17"/>
    </row>
    <row r="107" customFormat="false" ht="15" hidden="false" customHeight="true" outlineLevel="0" collapsed="false">
      <c r="A107" s="19" t="s">
        <v>114</v>
      </c>
      <c r="D107" s="20" t="n">
        <f aca="false">SUM(D98:D106)</f>
        <v>18270</v>
      </c>
    </row>
    <row r="109" customFormat="false" ht="15" hidden="false" customHeight="true" outlineLevel="0" collapsed="false">
      <c r="A109" s="3" t="s">
        <v>115</v>
      </c>
      <c r="D109" s="21" t="n">
        <f aca="false">D107*2</f>
        <v>36540</v>
      </c>
    </row>
    <row r="110" customFormat="false" ht="15.75" hidden="false" customHeight="true" outlineLevel="0" collapsed="false">
      <c r="A110" s="14" t="s">
        <v>116</v>
      </c>
      <c r="D110" s="15" t="n">
        <f aca="false">D94+D109</f>
        <v>198910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60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117</v>
      </c>
    </row>
    <row r="2" customFormat="false" ht="15" hidden="false" customHeight="true" outlineLevel="0" collapsed="false">
      <c r="A2" s="19" t="s">
        <v>118</v>
      </c>
    </row>
    <row r="4" customFormat="false" ht="15" hidden="false" customHeight="true" outlineLevel="0" collapsed="false">
      <c r="A4" s="5" t="s">
        <v>119</v>
      </c>
    </row>
    <row r="5" customFormat="false" ht="15" hidden="false" customHeight="true" outlineLevel="0" collapsed="false">
      <c r="A5" s="22" t="s">
        <v>120</v>
      </c>
      <c r="B5" s="4" t="s">
        <v>2</v>
      </c>
      <c r="C5" s="4" t="s">
        <v>121</v>
      </c>
      <c r="D5" s="4" t="s">
        <v>122</v>
      </c>
      <c r="E5" s="4" t="s">
        <v>123</v>
      </c>
    </row>
    <row r="6" customFormat="false" ht="15" hidden="false" customHeight="true" outlineLevel="0" collapsed="false">
      <c r="A6" s="10" t="n">
        <v>1</v>
      </c>
      <c r="B6" s="6" t="s">
        <v>124</v>
      </c>
      <c r="C6" s="6" t="s">
        <v>125</v>
      </c>
      <c r="D6" s="6" t="s">
        <v>126</v>
      </c>
      <c r="E6" s="23" t="s">
        <v>127</v>
      </c>
    </row>
    <row r="7" customFormat="false" ht="15" hidden="false" customHeight="true" outlineLevel="0" collapsed="false">
      <c r="A7" s="10" t="n">
        <v>2</v>
      </c>
      <c r="B7" s="6" t="s">
        <v>128</v>
      </c>
      <c r="C7" s="6" t="s">
        <v>129</v>
      </c>
      <c r="D7" s="6" t="s">
        <v>130</v>
      </c>
      <c r="E7" s="23" t="s">
        <v>127</v>
      </c>
    </row>
    <row r="8" customFormat="false" ht="23.25" hidden="false" customHeight="true" outlineLevel="0" collapsed="false">
      <c r="A8" s="10" t="n">
        <v>3</v>
      </c>
      <c r="B8" s="6" t="s">
        <v>131</v>
      </c>
      <c r="C8" s="6" t="s">
        <v>132</v>
      </c>
      <c r="D8" s="6" t="s">
        <v>133</v>
      </c>
      <c r="E8" s="23" t="s">
        <v>127</v>
      </c>
    </row>
    <row r="9" customFormat="false" ht="15" hidden="false" customHeight="true" outlineLevel="0" collapsed="false">
      <c r="A9" s="10" t="n">
        <v>4</v>
      </c>
      <c r="B9" s="6" t="s">
        <v>134</v>
      </c>
      <c r="C9" s="6" t="s">
        <v>135</v>
      </c>
      <c r="D9" s="6" t="s">
        <v>136</v>
      </c>
      <c r="E9" s="23" t="s">
        <v>127</v>
      </c>
    </row>
    <row r="11" customFormat="false" ht="15" hidden="false" customHeight="true" outlineLevel="0" collapsed="false">
      <c r="A11" s="5" t="s">
        <v>137</v>
      </c>
    </row>
    <row r="12" customFormat="false" ht="15" hidden="false" customHeight="true" outlineLevel="0" collapsed="false">
      <c r="A12" s="22" t="s">
        <v>120</v>
      </c>
      <c r="B12" s="4" t="s">
        <v>138</v>
      </c>
      <c r="C12" s="4" t="s">
        <v>139</v>
      </c>
      <c r="D12" s="24"/>
      <c r="E12" s="24"/>
    </row>
    <row r="13" customFormat="false" ht="15" hidden="false" customHeight="true" outlineLevel="0" collapsed="false">
      <c r="A13" s="10" t="n">
        <v>1</v>
      </c>
      <c r="B13" s="6" t="s">
        <v>140</v>
      </c>
      <c r="C13" s="6" t="s">
        <v>141</v>
      </c>
      <c r="D13" s="10"/>
      <c r="E13" s="10"/>
    </row>
    <row r="14" customFormat="false" ht="15" hidden="false" customHeight="true" outlineLevel="0" collapsed="false">
      <c r="A14" s="10" t="n">
        <v>2</v>
      </c>
      <c r="B14" s="6" t="s">
        <v>142</v>
      </c>
      <c r="C14" s="6" t="s">
        <v>143</v>
      </c>
      <c r="D14" s="10"/>
      <c r="E14" s="10"/>
    </row>
    <row r="15" customFormat="false" ht="15" hidden="false" customHeight="true" outlineLevel="0" collapsed="false">
      <c r="A15" s="10" t="n">
        <v>3</v>
      </c>
      <c r="B15" s="6" t="s">
        <v>144</v>
      </c>
      <c r="C15" s="6" t="s">
        <v>145</v>
      </c>
      <c r="D15" s="10"/>
      <c r="E15" s="10"/>
    </row>
    <row r="17" customFormat="false" ht="15" hidden="false" customHeight="true" outlineLevel="0" collapsed="false">
      <c r="A17" s="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48"/>
    <col collapsed="false" customWidth="true" hidden="false" outlineLevel="0" max="2" min="2" style="3" width="18"/>
  </cols>
  <sheetData>
    <row r="1" customFormat="false" ht="17.25" hidden="false" customHeight="true" outlineLevel="0" collapsed="false">
      <c r="A1" s="2" t="s">
        <v>147</v>
      </c>
    </row>
    <row r="3" customFormat="false" ht="15" hidden="false" customHeight="true" outlineLevel="0" collapsed="false">
      <c r="A3" s="25" t="s">
        <v>2</v>
      </c>
      <c r="B3" s="25" t="s">
        <v>148</v>
      </c>
    </row>
    <row r="4" customFormat="false" ht="15" hidden="false" customHeight="true" outlineLevel="0" collapsed="false">
      <c r="A4" s="26" t="s">
        <v>7</v>
      </c>
      <c r="B4" s="27" t="n">
        <f aca="false">SUM('التكلفة التأسيسية'!E5,'التكلفة التأسيسية'!E6,'التكلفة التأسيسية'!E7,'التكلفة التأسيسية'!E8,'التكلفة التأسيسية'!E9)</f>
        <v>30600</v>
      </c>
    </row>
    <row r="5" customFormat="false" ht="15" hidden="false" customHeight="true" outlineLevel="0" collapsed="false">
      <c r="A5" s="26" t="s">
        <v>18</v>
      </c>
      <c r="B5" s="27" t="n">
        <f aca="false">SUM('التكلفة التأسيسية'!E10,'التكلفة التأسيسية'!E11,'التكلفة التأسيسية'!E12,'التكلفة التأسيسية'!E13)</f>
        <v>13360</v>
      </c>
    </row>
    <row r="6" customFormat="false" ht="15" hidden="false" customHeight="true" outlineLevel="0" collapsed="false">
      <c r="A6" s="26" t="s">
        <v>25</v>
      </c>
      <c r="B6" s="27" t="n">
        <f aca="false">SUM('التكلفة التأسيسية'!E14,'التكلفة التأسيسية'!E15,'التكلفة التأسيسية'!E16,'التكلفة التأسيسية'!E17,'التكلفة التأسيسية'!E18,'التكلفة التأسيسية'!E19)</f>
        <v>9500</v>
      </c>
    </row>
    <row r="7" customFormat="false" ht="15" hidden="false" customHeight="true" outlineLevel="0" collapsed="false">
      <c r="A7" s="26" t="s">
        <v>40</v>
      </c>
      <c r="B7" s="27" t="n">
        <f aca="false">SUM('التكلفة التأسيسية'!E20,'التكلفة التأسيسية'!E21,'التكلفة التأسيسية'!E22,'التكلفة التأسيسية'!E23)</f>
        <v>6800</v>
      </c>
    </row>
    <row r="8" customFormat="false" ht="15" hidden="false" customHeight="true" outlineLevel="0" collapsed="false">
      <c r="A8" s="26" t="s">
        <v>49</v>
      </c>
      <c r="B8" s="27" t="n">
        <f aca="false">SUM('التكلفة التأسيسية'!E24,'التكلفة التأسيسية'!E25,'التكلفة التأسيسية'!E26)</f>
        <v>9660</v>
      </c>
    </row>
    <row r="9" customFormat="false" ht="15" hidden="false" customHeight="true" outlineLevel="0" collapsed="false">
      <c r="A9" s="26" t="s">
        <v>55</v>
      </c>
      <c r="B9" s="27" t="n">
        <f aca="false">SUM('التكلفة التأسيسية'!E27,'التكلفة التأسيسية'!E28)</f>
        <v>800</v>
      </c>
    </row>
    <row r="10" customFormat="false" ht="15" hidden="false" customHeight="true" outlineLevel="0" collapsed="false">
      <c r="A10" s="26" t="s">
        <v>59</v>
      </c>
      <c r="B10" s="27" t="n">
        <f aca="false">SUM('التكلفة التأسيسية'!E29,'التكلفة التأسيسية'!E31,'التكلفة التأسيسية'!E32,'التكلفة التأسيسية'!E33,'التكلفة التأسيسية'!E34,'التكلفة التأسيسية'!E35)</f>
        <v>46750</v>
      </c>
    </row>
    <row r="11" customFormat="false" ht="15" hidden="false" customHeight="true" outlineLevel="0" collapsed="false">
      <c r="A11" s="26" t="s">
        <v>72</v>
      </c>
      <c r="B11" s="27" t="n">
        <f aca="false">SUM('التكلفة التأسيسية'!E36,'التكلفة التأسيسية'!E37,'التكلفة التأسيسية'!E38,'التكلفة التأسيسية'!E39)</f>
        <v>5700</v>
      </c>
    </row>
    <row r="12" customFormat="false" ht="15" hidden="false" customHeight="true" outlineLevel="0" collapsed="false">
      <c r="A12" s="26" t="s">
        <v>79</v>
      </c>
      <c r="B12" s="27" t="n">
        <f aca="false">SUM('التكلفة التأسيسية'!E40,'التكلفة التأسيسية'!E41,'التكلفة التأسيسية'!E42,'التكلفة التأسيسية'!E43,'التكلفة التأسيسية'!E44)</f>
        <v>38000</v>
      </c>
    </row>
    <row r="13" customFormat="false" ht="15" hidden="false" customHeight="true" outlineLevel="0" collapsed="false">
      <c r="A13" s="26" t="s">
        <v>149</v>
      </c>
      <c r="B13" s="27" t="n">
        <f aca="false">SUM('التكلفة التأسيسية'!E30)</f>
        <v>1200</v>
      </c>
    </row>
    <row r="14" customFormat="false" ht="15" hidden="false" customHeight="true" outlineLevel="0" collapsed="false">
      <c r="A14" s="28" t="s">
        <v>103</v>
      </c>
      <c r="B14" s="29" t="n">
        <f aca="false">SUM(B4:B13)</f>
        <v>162370</v>
      </c>
    </row>
    <row r="15" customFormat="false" ht="15" hidden="false" customHeight="true" outlineLevel="0" collapsed="false">
      <c r="B15" s="21"/>
    </row>
    <row r="16" customFormat="false" ht="14.25" hidden="false" customHeight="true" outlineLevel="0" collapsed="false">
      <c r="A16" s="26" t="s">
        <v>104</v>
      </c>
      <c r="B16" s="27" t="n">
        <f aca="false">'المصاريف الشهرية'!B15</f>
        <v>18270</v>
      </c>
    </row>
    <row r="17" customFormat="false" ht="14.25" hidden="false" customHeight="true" outlineLevel="0" collapsed="false">
      <c r="A17" s="26" t="s">
        <v>150</v>
      </c>
      <c r="B17" s="18" t="n">
        <v>2</v>
      </c>
    </row>
    <row r="18" customFormat="false" ht="15" hidden="false" customHeight="true" outlineLevel="0" collapsed="false">
      <c r="A18" s="26" t="s">
        <v>151</v>
      </c>
      <c r="B18" s="27" t="n">
        <f aca="false">B16*B17</f>
        <v>36540</v>
      </c>
    </row>
    <row r="19" customFormat="false" ht="15.75" hidden="false" customHeight="true" outlineLevel="0" collapsed="false">
      <c r="B19" s="21"/>
    </row>
    <row r="20" customFormat="false" ht="15.75" hidden="false" customHeight="true" outlineLevel="0" collapsed="false">
      <c r="A20" s="30" t="s">
        <v>116</v>
      </c>
      <c r="B20" s="31" t="n">
        <f aca="false">B14+B18</f>
        <v>198910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8"/>
    <col collapsed="false" customWidth="true" hidden="false" outlineLevel="0" max="2" min="2" style="3" width="52"/>
    <col collapsed="false" customWidth="true" hidden="false" outlineLevel="0" max="3" min="3" style="3" width="8"/>
    <col collapsed="false" customWidth="true" hidden="false" outlineLevel="0" max="4" min="4" style="3" width="13"/>
    <col collapsed="false" customWidth="true" hidden="false" outlineLevel="0" max="5" min="5" style="3" width="14"/>
    <col collapsed="false" customWidth="true" hidden="false" outlineLevel="0" max="6" min="6" style="3" width="13"/>
    <col collapsed="false" customWidth="true" hidden="false" outlineLevel="0" max="7" min="7" style="3" width="40"/>
  </cols>
  <sheetData>
    <row r="1" customFormat="false" ht="15" hidden="false" customHeight="true" outlineLevel="0" collapsed="false">
      <c r="A1" s="2" t="s">
        <v>152</v>
      </c>
    </row>
    <row r="2" customFormat="false" ht="15" hidden="false" customHeight="true" outlineLevel="0" collapsed="false">
      <c r="A2" s="3" t="s">
        <v>153</v>
      </c>
    </row>
    <row r="4" customFormat="false" ht="15" hidden="false" customHeight="true" outlineLevel="0" collapsed="false">
      <c r="A4" s="25" t="s">
        <v>154</v>
      </c>
      <c r="B4" s="25" t="s">
        <v>2</v>
      </c>
      <c r="C4" s="25" t="s">
        <v>3</v>
      </c>
      <c r="D4" s="25" t="s">
        <v>4</v>
      </c>
      <c r="E4" s="25" t="s">
        <v>5</v>
      </c>
      <c r="F4" s="25" t="s">
        <v>155</v>
      </c>
      <c r="G4" s="25" t="s">
        <v>6</v>
      </c>
    </row>
    <row r="5" customFormat="false" ht="15" hidden="false" customHeight="true" outlineLevel="0" collapsed="false">
      <c r="A5" s="6" t="s">
        <v>7</v>
      </c>
      <c r="B5" s="6" t="s">
        <v>8</v>
      </c>
      <c r="C5" s="7" t="n">
        <v>2</v>
      </c>
      <c r="D5" s="8" t="n">
        <v>5000</v>
      </c>
      <c r="E5" s="9" t="n">
        <f aca="false">C5*D5</f>
        <v>10000</v>
      </c>
      <c r="F5" s="6" t="s">
        <v>156</v>
      </c>
      <c r="G5" s="6" t="s">
        <v>9</v>
      </c>
    </row>
    <row r="6" customFormat="false" ht="15" hidden="false" customHeight="true" outlineLevel="0" collapsed="false">
      <c r="A6" s="6" t="s">
        <v>7</v>
      </c>
      <c r="B6" s="6" t="s">
        <v>10</v>
      </c>
      <c r="C6" s="7" t="n">
        <v>1</v>
      </c>
      <c r="D6" s="8" t="n">
        <v>4600</v>
      </c>
      <c r="E6" s="9" t="n">
        <f aca="false">C6*D6</f>
        <v>4600</v>
      </c>
      <c r="F6" s="6" t="s">
        <v>157</v>
      </c>
      <c r="G6" s="10" t="s">
        <v>11</v>
      </c>
    </row>
    <row r="7" customFormat="false" ht="15" hidden="false" customHeight="true" outlineLevel="0" collapsed="false">
      <c r="A7" s="6" t="s">
        <v>7</v>
      </c>
      <c r="B7" s="6" t="s">
        <v>12</v>
      </c>
      <c r="C7" s="7" t="n">
        <v>1</v>
      </c>
      <c r="D7" s="8" t="n">
        <v>9000</v>
      </c>
      <c r="E7" s="9" t="n">
        <f aca="false">C7*D7</f>
        <v>9000</v>
      </c>
      <c r="F7" s="6" t="s">
        <v>158</v>
      </c>
      <c r="G7" s="6" t="s">
        <v>13</v>
      </c>
    </row>
    <row r="8" customFormat="false" ht="15" hidden="false" customHeight="true" outlineLevel="0" collapsed="false">
      <c r="A8" s="6" t="s">
        <v>7</v>
      </c>
      <c r="B8" s="6" t="s">
        <v>14</v>
      </c>
      <c r="C8" s="7" t="n">
        <v>1</v>
      </c>
      <c r="D8" s="8" t="n">
        <v>4000</v>
      </c>
      <c r="E8" s="9" t="n">
        <f aca="false">C8*D8</f>
        <v>4000</v>
      </c>
      <c r="F8" s="6" t="s">
        <v>156</v>
      </c>
      <c r="G8" s="6" t="s">
        <v>15</v>
      </c>
    </row>
    <row r="9" customFormat="false" ht="15" hidden="false" customHeight="true" outlineLevel="0" collapsed="false">
      <c r="A9" s="6" t="s">
        <v>7</v>
      </c>
      <c r="B9" s="6" t="s">
        <v>16</v>
      </c>
      <c r="C9" s="7" t="n">
        <v>1</v>
      </c>
      <c r="D9" s="8" t="n">
        <v>3000</v>
      </c>
      <c r="E9" s="9" t="n">
        <f aca="false">C9*D9</f>
        <v>3000</v>
      </c>
      <c r="F9" s="6" t="s">
        <v>158</v>
      </c>
      <c r="G9" s="10"/>
    </row>
    <row r="10" customFormat="false" ht="15" hidden="false" customHeight="true" outlineLevel="0" collapsed="false">
      <c r="A10" s="6" t="s">
        <v>18</v>
      </c>
      <c r="B10" s="6" t="s">
        <v>19</v>
      </c>
      <c r="C10" s="7" t="n">
        <v>1</v>
      </c>
      <c r="D10" s="8" t="n">
        <v>9460</v>
      </c>
      <c r="E10" s="9" t="n">
        <f aca="false">C10*D10</f>
        <v>9460</v>
      </c>
      <c r="F10" s="6" t="s">
        <v>157</v>
      </c>
      <c r="G10" s="6" t="s">
        <v>20</v>
      </c>
    </row>
    <row r="11" customFormat="false" ht="15" hidden="false" customHeight="true" outlineLevel="0" collapsed="false">
      <c r="A11" s="6" t="s">
        <v>18</v>
      </c>
      <c r="B11" s="6" t="s">
        <v>21</v>
      </c>
      <c r="C11" s="7" t="n">
        <v>1</v>
      </c>
      <c r="D11" s="8" t="n">
        <v>2500</v>
      </c>
      <c r="E11" s="9" t="n">
        <f aca="false">C11*D11</f>
        <v>2500</v>
      </c>
      <c r="F11" s="6" t="s">
        <v>158</v>
      </c>
      <c r="G11" s="10"/>
    </row>
    <row r="12" customFormat="false" ht="15" hidden="false" customHeight="true" outlineLevel="0" collapsed="false">
      <c r="A12" s="6" t="s">
        <v>18</v>
      </c>
      <c r="B12" s="6" t="s">
        <v>22</v>
      </c>
      <c r="C12" s="7" t="n">
        <v>1</v>
      </c>
      <c r="D12" s="8" t="n">
        <v>500</v>
      </c>
      <c r="E12" s="9" t="n">
        <f aca="false">C12*D12</f>
        <v>500</v>
      </c>
      <c r="F12" s="6" t="s">
        <v>158</v>
      </c>
      <c r="G12" s="10"/>
    </row>
    <row r="13" customFormat="false" ht="15" hidden="false" customHeight="true" outlineLevel="0" collapsed="false">
      <c r="A13" s="6" t="s">
        <v>18</v>
      </c>
      <c r="B13" s="6" t="s">
        <v>23</v>
      </c>
      <c r="C13" s="7" t="n">
        <v>1</v>
      </c>
      <c r="D13" s="8" t="n">
        <v>900</v>
      </c>
      <c r="E13" s="9" t="n">
        <f aca="false">C13*D13</f>
        <v>900</v>
      </c>
      <c r="F13" s="6" t="s">
        <v>158</v>
      </c>
      <c r="G13" s="10"/>
    </row>
    <row r="14" customFormat="false" ht="15" hidden="false" customHeight="true" outlineLevel="0" collapsed="false">
      <c r="A14" s="6" t="s">
        <v>25</v>
      </c>
      <c r="B14" s="6" t="s">
        <v>26</v>
      </c>
      <c r="C14" s="7" t="n">
        <v>1</v>
      </c>
      <c r="D14" s="8" t="n">
        <v>1200</v>
      </c>
      <c r="E14" s="9" t="n">
        <f aca="false">C14*D14</f>
        <v>1200</v>
      </c>
      <c r="F14" s="6" t="s">
        <v>158</v>
      </c>
      <c r="G14" s="6" t="s">
        <v>27</v>
      </c>
    </row>
    <row r="15" customFormat="false" ht="15" hidden="false" customHeight="true" outlineLevel="0" collapsed="false">
      <c r="A15" s="6" t="s">
        <v>25</v>
      </c>
      <c r="B15" s="6" t="s">
        <v>28</v>
      </c>
      <c r="C15" s="7" t="n">
        <v>1</v>
      </c>
      <c r="D15" s="8" t="n">
        <v>700</v>
      </c>
      <c r="E15" s="9" t="n">
        <f aca="false">C15*D15</f>
        <v>700</v>
      </c>
      <c r="F15" s="6" t="s">
        <v>158</v>
      </c>
      <c r="G15" s="6" t="s">
        <v>29</v>
      </c>
    </row>
    <row r="16" customFormat="false" ht="15" hidden="false" customHeight="true" outlineLevel="0" collapsed="false">
      <c r="A16" s="6" t="s">
        <v>25</v>
      </c>
      <c r="B16" s="6" t="s">
        <v>30</v>
      </c>
      <c r="C16" s="7" t="n">
        <v>1</v>
      </c>
      <c r="D16" s="8" t="n">
        <v>3500</v>
      </c>
      <c r="E16" s="9" t="n">
        <f aca="false">C16*D16</f>
        <v>3500</v>
      </c>
      <c r="F16" s="6" t="s">
        <v>158</v>
      </c>
      <c r="G16" s="6" t="s">
        <v>31</v>
      </c>
    </row>
    <row r="17" customFormat="false" ht="15" hidden="false" customHeight="true" outlineLevel="0" collapsed="false">
      <c r="A17" s="6" t="s">
        <v>25</v>
      </c>
      <c r="B17" s="6" t="s">
        <v>159</v>
      </c>
      <c r="C17" s="7" t="n">
        <v>0</v>
      </c>
      <c r="D17" s="8" t="n">
        <v>600</v>
      </c>
      <c r="E17" s="9" t="n">
        <f aca="false">C17*D17</f>
        <v>0</v>
      </c>
      <c r="F17" s="6" t="s">
        <v>158</v>
      </c>
      <c r="G17" s="6" t="s">
        <v>160</v>
      </c>
    </row>
    <row r="18" customFormat="false" ht="15" hidden="false" customHeight="true" outlineLevel="0" collapsed="false">
      <c r="A18" s="6" t="s">
        <v>25</v>
      </c>
      <c r="B18" s="6" t="s">
        <v>32</v>
      </c>
      <c r="C18" s="7" t="n">
        <v>1</v>
      </c>
      <c r="D18" s="8" t="n">
        <v>1500</v>
      </c>
      <c r="E18" s="9" t="n">
        <f aca="false">C18*D18</f>
        <v>1500</v>
      </c>
      <c r="F18" s="6" t="s">
        <v>158</v>
      </c>
      <c r="G18" s="6" t="s">
        <v>33</v>
      </c>
    </row>
    <row r="19" customFormat="false" ht="15" hidden="false" customHeight="true" outlineLevel="0" collapsed="false">
      <c r="A19" s="6" t="s">
        <v>25</v>
      </c>
      <c r="B19" s="6" t="s">
        <v>161</v>
      </c>
      <c r="C19" s="7" t="n">
        <v>1</v>
      </c>
      <c r="D19" s="8" t="n">
        <v>2600</v>
      </c>
      <c r="E19" s="9" t="n">
        <f aca="false">C19*D19</f>
        <v>2600</v>
      </c>
      <c r="F19" s="6" t="s">
        <v>158</v>
      </c>
      <c r="G19" s="10"/>
    </row>
    <row r="20" customFormat="false" ht="15" hidden="false" customHeight="true" outlineLevel="0" collapsed="false">
      <c r="A20" s="6" t="s">
        <v>40</v>
      </c>
      <c r="B20" s="6" t="s">
        <v>162</v>
      </c>
      <c r="C20" s="7" t="n">
        <v>1</v>
      </c>
      <c r="D20" s="8" t="n">
        <v>3500</v>
      </c>
      <c r="E20" s="9" t="n">
        <f aca="false">C20*D20</f>
        <v>3500</v>
      </c>
      <c r="F20" s="6" t="s">
        <v>158</v>
      </c>
      <c r="G20" s="6" t="s">
        <v>163</v>
      </c>
    </row>
    <row r="21" customFormat="false" ht="15" hidden="false" customHeight="true" outlineLevel="0" collapsed="false">
      <c r="A21" s="6" t="s">
        <v>40</v>
      </c>
      <c r="B21" s="6" t="s">
        <v>44</v>
      </c>
      <c r="C21" s="7" t="n">
        <v>1</v>
      </c>
      <c r="D21" s="8" t="n">
        <v>1000</v>
      </c>
      <c r="E21" s="9" t="n">
        <f aca="false">C21*D21</f>
        <v>1000</v>
      </c>
      <c r="F21" s="6" t="s">
        <v>158</v>
      </c>
      <c r="G21" s="10"/>
    </row>
    <row r="22" customFormat="false" ht="15" hidden="false" customHeight="true" outlineLevel="0" collapsed="false">
      <c r="A22" s="6" t="s">
        <v>40</v>
      </c>
      <c r="B22" s="6" t="s">
        <v>45</v>
      </c>
      <c r="C22" s="7" t="n">
        <v>1</v>
      </c>
      <c r="D22" s="8" t="n">
        <v>1500</v>
      </c>
      <c r="E22" s="9" t="n">
        <f aca="false">C22*D22</f>
        <v>1500</v>
      </c>
      <c r="F22" s="6" t="s">
        <v>158</v>
      </c>
      <c r="G22" s="6" t="s">
        <v>46</v>
      </c>
    </row>
    <row r="23" customFormat="false" ht="15" hidden="false" customHeight="true" outlineLevel="0" collapsed="false">
      <c r="A23" s="6" t="s">
        <v>40</v>
      </c>
      <c r="B23" s="6" t="s">
        <v>47</v>
      </c>
      <c r="C23" s="7" t="n">
        <v>1</v>
      </c>
      <c r="D23" s="8" t="n">
        <v>800</v>
      </c>
      <c r="E23" s="9" t="n">
        <f aca="false">C23*D23</f>
        <v>800</v>
      </c>
      <c r="F23" s="6" t="s">
        <v>158</v>
      </c>
      <c r="G23" s="10"/>
    </row>
    <row r="24" customFormat="false" ht="15" hidden="false" customHeight="true" outlineLevel="0" collapsed="false">
      <c r="A24" s="6" t="s">
        <v>49</v>
      </c>
      <c r="B24" s="6" t="s">
        <v>50</v>
      </c>
      <c r="C24" s="7" t="n">
        <v>3</v>
      </c>
      <c r="D24" s="8" t="n">
        <v>2400</v>
      </c>
      <c r="E24" s="9" t="n">
        <f aca="false">C24*D24</f>
        <v>7200</v>
      </c>
      <c r="F24" s="6" t="s">
        <v>158</v>
      </c>
      <c r="G24" s="6" t="s">
        <v>51</v>
      </c>
    </row>
    <row r="25" customFormat="false" ht="15" hidden="false" customHeight="true" outlineLevel="0" collapsed="false">
      <c r="A25" s="6" t="s">
        <v>49</v>
      </c>
      <c r="B25" s="6" t="s">
        <v>52</v>
      </c>
      <c r="C25" s="7" t="n">
        <v>8</v>
      </c>
      <c r="D25" s="8" t="n">
        <v>120</v>
      </c>
      <c r="E25" s="9" t="n">
        <f aca="false">C25*D25</f>
        <v>960</v>
      </c>
      <c r="F25" s="6" t="s">
        <v>158</v>
      </c>
      <c r="G25" s="10"/>
    </row>
    <row r="26" customFormat="false" ht="15" hidden="false" customHeight="true" outlineLevel="0" collapsed="false">
      <c r="A26" s="6" t="s">
        <v>49</v>
      </c>
      <c r="B26" s="6" t="s">
        <v>53</v>
      </c>
      <c r="C26" s="7" t="n">
        <v>1</v>
      </c>
      <c r="D26" s="8" t="n">
        <v>1500</v>
      </c>
      <c r="E26" s="9" t="n">
        <f aca="false">C26*D26</f>
        <v>1500</v>
      </c>
      <c r="F26" s="6" t="s">
        <v>158</v>
      </c>
      <c r="G26" s="10"/>
    </row>
    <row r="27" customFormat="false" ht="15" hidden="false" customHeight="true" outlineLevel="0" collapsed="false">
      <c r="A27" s="6" t="s">
        <v>55</v>
      </c>
      <c r="B27" s="6" t="s">
        <v>164</v>
      </c>
      <c r="C27" s="7" t="n">
        <v>0</v>
      </c>
      <c r="D27" s="8" t="n">
        <v>900</v>
      </c>
      <c r="E27" s="9" t="n">
        <f aca="false">C27*D27</f>
        <v>0</v>
      </c>
      <c r="F27" s="6" t="s">
        <v>158</v>
      </c>
      <c r="G27" s="6" t="s">
        <v>160</v>
      </c>
    </row>
    <row r="28" customFormat="false" ht="15" hidden="false" customHeight="true" outlineLevel="0" collapsed="false">
      <c r="A28" s="6" t="s">
        <v>55</v>
      </c>
      <c r="B28" s="6" t="s">
        <v>56</v>
      </c>
      <c r="C28" s="7" t="n">
        <v>8</v>
      </c>
      <c r="D28" s="8" t="n">
        <v>100</v>
      </c>
      <c r="E28" s="9" t="n">
        <f aca="false">C28*D28</f>
        <v>800</v>
      </c>
      <c r="F28" s="6" t="s">
        <v>158</v>
      </c>
      <c r="G28" s="6" t="s">
        <v>57</v>
      </c>
    </row>
    <row r="29" customFormat="false" ht="15" hidden="false" customHeight="true" outlineLevel="0" collapsed="false">
      <c r="A29" s="6" t="s">
        <v>59</v>
      </c>
      <c r="B29" s="6" t="s">
        <v>60</v>
      </c>
      <c r="C29" s="7" t="n">
        <v>1</v>
      </c>
      <c r="D29" s="8" t="n">
        <v>13000</v>
      </c>
      <c r="E29" s="9" t="n">
        <f aca="false">C29*D29</f>
        <v>13000</v>
      </c>
      <c r="F29" s="6" t="s">
        <v>165</v>
      </c>
      <c r="G29" s="6" t="s">
        <v>61</v>
      </c>
    </row>
    <row r="30" customFormat="false" ht="15" hidden="false" customHeight="true" outlineLevel="0" collapsed="false">
      <c r="A30" s="6" t="s">
        <v>99</v>
      </c>
      <c r="B30" s="6" t="s">
        <v>100</v>
      </c>
      <c r="C30" s="7" t="n">
        <v>1</v>
      </c>
      <c r="D30" s="8" t="n">
        <v>1200</v>
      </c>
      <c r="E30" s="9" t="n">
        <f aca="false">C30*D30</f>
        <v>1200</v>
      </c>
      <c r="F30" s="6" t="s">
        <v>158</v>
      </c>
      <c r="G30" s="6" t="s">
        <v>101</v>
      </c>
    </row>
    <row r="31" customFormat="false" ht="15" hidden="false" customHeight="true" outlineLevel="0" collapsed="false">
      <c r="A31" s="6" t="s">
        <v>59</v>
      </c>
      <c r="B31" s="6" t="s">
        <v>62</v>
      </c>
      <c r="C31" s="7" t="n">
        <v>1</v>
      </c>
      <c r="D31" s="8" t="n">
        <v>17000</v>
      </c>
      <c r="E31" s="9" t="n">
        <f aca="false">C31*D31</f>
        <v>17000</v>
      </c>
      <c r="F31" s="6" t="s">
        <v>158</v>
      </c>
      <c r="G31" s="6" t="s">
        <v>63</v>
      </c>
    </row>
    <row r="32" customFormat="false" ht="15" hidden="false" customHeight="true" outlineLevel="0" collapsed="false">
      <c r="A32" s="6" t="s">
        <v>59</v>
      </c>
      <c r="B32" s="6" t="s">
        <v>166</v>
      </c>
      <c r="C32" s="7" t="n">
        <v>1</v>
      </c>
      <c r="D32" s="8" t="n">
        <v>6000</v>
      </c>
      <c r="E32" s="9" t="n">
        <f aca="false">C32*D32</f>
        <v>6000</v>
      </c>
      <c r="F32" s="6" t="s">
        <v>158</v>
      </c>
      <c r="G32" s="10"/>
    </row>
    <row r="33" customFormat="false" ht="15" hidden="false" customHeight="true" outlineLevel="0" collapsed="false">
      <c r="A33" s="6" t="s">
        <v>59</v>
      </c>
      <c r="B33" s="6" t="s">
        <v>167</v>
      </c>
      <c r="C33" s="7" t="n">
        <v>1</v>
      </c>
      <c r="D33" s="8" t="n">
        <v>6000</v>
      </c>
      <c r="E33" s="9" t="n">
        <f aca="false">C33*D33</f>
        <v>6000</v>
      </c>
      <c r="F33" s="6" t="s">
        <v>158</v>
      </c>
      <c r="G33" s="10"/>
    </row>
    <row r="34" customFormat="false" ht="15" hidden="false" customHeight="true" outlineLevel="0" collapsed="false">
      <c r="A34" s="6" t="s">
        <v>59</v>
      </c>
      <c r="B34" s="6" t="s">
        <v>168</v>
      </c>
      <c r="C34" s="7" t="n">
        <v>1</v>
      </c>
      <c r="D34" s="8" t="n">
        <v>1750</v>
      </c>
      <c r="E34" s="9" t="n">
        <f aca="false">C34*D34</f>
        <v>1750</v>
      </c>
      <c r="F34" s="6" t="s">
        <v>158</v>
      </c>
      <c r="G34" s="10"/>
    </row>
    <row r="35" customFormat="false" ht="15" hidden="false" customHeight="true" outlineLevel="0" collapsed="false">
      <c r="A35" s="6" t="s">
        <v>59</v>
      </c>
      <c r="B35" s="6" t="s">
        <v>169</v>
      </c>
      <c r="C35" s="7" t="n">
        <v>1</v>
      </c>
      <c r="D35" s="8" t="n">
        <v>3000</v>
      </c>
      <c r="E35" s="9" t="n">
        <f aca="false">C35*D35</f>
        <v>3000</v>
      </c>
      <c r="F35" s="6" t="s">
        <v>158</v>
      </c>
      <c r="G35" s="10"/>
    </row>
    <row r="36" customFormat="false" ht="15" hidden="false" customHeight="true" outlineLevel="0" collapsed="false">
      <c r="A36" s="6" t="s">
        <v>72</v>
      </c>
      <c r="B36" s="6" t="s">
        <v>73</v>
      </c>
      <c r="C36" s="7" t="n">
        <v>1</v>
      </c>
      <c r="D36" s="8" t="n">
        <v>1500</v>
      </c>
      <c r="E36" s="9" t="n">
        <f aca="false">C36*D36</f>
        <v>1500</v>
      </c>
      <c r="F36" s="6" t="s">
        <v>158</v>
      </c>
      <c r="G36" s="10"/>
    </row>
    <row r="37" customFormat="false" ht="15" hidden="false" customHeight="true" outlineLevel="0" collapsed="false">
      <c r="A37" s="6" t="s">
        <v>72</v>
      </c>
      <c r="B37" s="6" t="s">
        <v>74</v>
      </c>
      <c r="C37" s="7" t="n">
        <v>1</v>
      </c>
      <c r="D37" s="8" t="n">
        <v>2000</v>
      </c>
      <c r="E37" s="9" t="n">
        <f aca="false">C37*D37</f>
        <v>2000</v>
      </c>
      <c r="F37" s="6" t="s">
        <v>158</v>
      </c>
      <c r="G37" s="6" t="s">
        <v>75</v>
      </c>
    </row>
    <row r="38" customFormat="false" ht="15" hidden="false" customHeight="true" outlineLevel="0" collapsed="false">
      <c r="A38" s="6" t="s">
        <v>72</v>
      </c>
      <c r="B38" s="6" t="s">
        <v>76</v>
      </c>
      <c r="C38" s="7" t="n">
        <v>1</v>
      </c>
      <c r="D38" s="8" t="n">
        <v>1000</v>
      </c>
      <c r="E38" s="9" t="n">
        <f aca="false">C38*D38</f>
        <v>1000</v>
      </c>
      <c r="F38" s="6" t="s">
        <v>158</v>
      </c>
      <c r="G38" s="10"/>
    </row>
    <row r="39" customFormat="false" ht="15" hidden="false" customHeight="true" outlineLevel="0" collapsed="false">
      <c r="A39" s="6" t="s">
        <v>72</v>
      </c>
      <c r="B39" s="6" t="s">
        <v>77</v>
      </c>
      <c r="C39" s="7" t="n">
        <v>4</v>
      </c>
      <c r="D39" s="8" t="n">
        <v>300</v>
      </c>
      <c r="E39" s="9" t="n">
        <f aca="false">C39*D39</f>
        <v>1200</v>
      </c>
      <c r="F39" s="6" t="s">
        <v>158</v>
      </c>
      <c r="G39" s="10"/>
    </row>
    <row r="40" customFormat="false" ht="15" hidden="false" customHeight="true" outlineLevel="0" collapsed="false">
      <c r="A40" s="6" t="s">
        <v>79</v>
      </c>
      <c r="B40" s="6" t="s">
        <v>80</v>
      </c>
      <c r="C40" s="7" t="n">
        <v>1</v>
      </c>
      <c r="D40" s="8" t="n">
        <v>20000</v>
      </c>
      <c r="E40" s="9" t="n">
        <f aca="false">C40*D40</f>
        <v>20000</v>
      </c>
      <c r="F40" s="6" t="s">
        <v>170</v>
      </c>
      <c r="G40" s="6" t="s">
        <v>81</v>
      </c>
    </row>
    <row r="41" customFormat="false" ht="15" hidden="false" customHeight="true" outlineLevel="0" collapsed="false">
      <c r="A41" s="6" t="s">
        <v>79</v>
      </c>
      <c r="B41" s="6" t="s">
        <v>171</v>
      </c>
      <c r="C41" s="7" t="n">
        <v>0</v>
      </c>
      <c r="D41" s="8" t="n">
        <v>500</v>
      </c>
      <c r="E41" s="9" t="n">
        <f aca="false">C41*D41</f>
        <v>0</v>
      </c>
      <c r="F41" s="6" t="s">
        <v>158</v>
      </c>
      <c r="G41" s="6" t="s">
        <v>172</v>
      </c>
    </row>
    <row r="42" customFormat="false" ht="15" hidden="false" customHeight="true" outlineLevel="0" collapsed="false">
      <c r="A42" s="6" t="s">
        <v>79</v>
      </c>
      <c r="B42" s="6" t="s">
        <v>173</v>
      </c>
      <c r="C42" s="7" t="n">
        <v>1</v>
      </c>
      <c r="D42" s="8" t="n">
        <v>10000</v>
      </c>
      <c r="E42" s="9" t="n">
        <f aca="false">C42*D42</f>
        <v>10000</v>
      </c>
      <c r="F42" s="6" t="s">
        <v>158</v>
      </c>
      <c r="G42" s="10"/>
    </row>
    <row r="43" customFormat="false" ht="15" hidden="false" customHeight="true" outlineLevel="0" collapsed="false">
      <c r="A43" s="6" t="s">
        <v>79</v>
      </c>
      <c r="B43" s="6" t="s">
        <v>174</v>
      </c>
      <c r="C43" s="7" t="n">
        <v>1</v>
      </c>
      <c r="D43" s="8" t="n">
        <v>3000</v>
      </c>
      <c r="E43" s="9" t="n">
        <f aca="false">C43*D43</f>
        <v>3000</v>
      </c>
      <c r="F43" s="6" t="s">
        <v>158</v>
      </c>
      <c r="G43" s="10"/>
    </row>
    <row r="44" customFormat="false" ht="15" hidden="false" customHeight="true" outlineLevel="0" collapsed="false">
      <c r="A44" s="6" t="s">
        <v>79</v>
      </c>
      <c r="B44" s="6" t="s">
        <v>175</v>
      </c>
      <c r="C44" s="7" t="n">
        <v>1</v>
      </c>
      <c r="D44" s="8" t="n">
        <v>5000</v>
      </c>
      <c r="E44" s="9" t="n">
        <f aca="false">C44*D44</f>
        <v>5000</v>
      </c>
      <c r="F44" s="6" t="s">
        <v>158</v>
      </c>
      <c r="G44" s="10"/>
    </row>
    <row r="45" customFormat="false" ht="15" hidden="false" customHeight="true" outlineLevel="0" collapsed="false"/>
    <row r="46" customFormat="false" ht="15" hidden="false" customHeight="true" outlineLevel="0" collapsed="false">
      <c r="B46" s="11" t="s">
        <v>103</v>
      </c>
      <c r="E46" s="13" t="n">
        <f aca="false">SUM(E5:E44)</f>
        <v>162370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70"/>
    <col collapsed="false" customWidth="true" hidden="false" outlineLevel="0" max="2" min="2" style="3" width="14"/>
    <col collapsed="false" customWidth="true" hidden="false" outlineLevel="0" max="3" min="3" style="3" width="30"/>
  </cols>
  <sheetData>
    <row r="1" customFormat="false" ht="17.2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176</v>
      </c>
    </row>
    <row r="4" customFormat="false" ht="15" hidden="false" customHeight="true" outlineLevel="0" collapsed="false">
      <c r="A4" s="25" t="s">
        <v>2</v>
      </c>
      <c r="B4" s="25" t="s">
        <v>177</v>
      </c>
      <c r="C4" s="25" t="s">
        <v>6</v>
      </c>
    </row>
    <row r="5" customFormat="false" ht="15" hidden="false" customHeight="true" outlineLevel="0" collapsed="false">
      <c r="A5" s="6" t="s">
        <v>105</v>
      </c>
      <c r="B5" s="8" t="n">
        <v>8500</v>
      </c>
      <c r="C5" s="10"/>
    </row>
    <row r="6" customFormat="false" ht="23.25" hidden="false" customHeight="true" outlineLevel="0" collapsed="false">
      <c r="A6" s="6" t="s">
        <v>106</v>
      </c>
      <c r="B6" s="8" t="n">
        <v>1600</v>
      </c>
      <c r="C6" s="6" t="s">
        <v>178</v>
      </c>
    </row>
    <row r="7" customFormat="false" ht="15" hidden="false" customHeight="true" outlineLevel="0" collapsed="false">
      <c r="A7" s="6" t="s">
        <v>107</v>
      </c>
      <c r="B7" s="8" t="n">
        <v>1600</v>
      </c>
      <c r="C7" s="6" t="s">
        <v>179</v>
      </c>
    </row>
    <row r="8" customFormat="false" ht="15" hidden="false" customHeight="true" outlineLevel="0" collapsed="false">
      <c r="A8" s="6" t="s">
        <v>108</v>
      </c>
      <c r="B8" s="8" t="n">
        <v>500</v>
      </c>
      <c r="C8" s="6" t="s">
        <v>179</v>
      </c>
    </row>
    <row r="9" customFormat="false" ht="15" hidden="false" customHeight="true" outlineLevel="0" collapsed="false">
      <c r="A9" s="6" t="s">
        <v>109</v>
      </c>
      <c r="B9" s="8" t="n">
        <v>170</v>
      </c>
      <c r="C9" s="10"/>
    </row>
    <row r="10" customFormat="false" ht="15" hidden="false" customHeight="true" outlineLevel="0" collapsed="false">
      <c r="A10" s="6" t="s">
        <v>110</v>
      </c>
      <c r="B10" s="8" t="n">
        <v>3000</v>
      </c>
      <c r="C10" s="10"/>
    </row>
    <row r="11" customFormat="false" ht="15" hidden="false" customHeight="true" outlineLevel="0" collapsed="false">
      <c r="A11" s="6" t="s">
        <v>111</v>
      </c>
      <c r="B11" s="8" t="n">
        <v>400</v>
      </c>
      <c r="C11" s="10"/>
    </row>
    <row r="12" customFormat="false" ht="15" hidden="false" customHeight="true" outlineLevel="0" collapsed="false">
      <c r="A12" s="3" t="s">
        <v>112</v>
      </c>
      <c r="B12" s="21" t="n">
        <v>2000</v>
      </c>
    </row>
    <row r="13" customFormat="false" ht="15" hidden="false" customHeight="true" outlineLevel="0" collapsed="false">
      <c r="A13" s="19" t="s">
        <v>113</v>
      </c>
      <c r="B13" s="20" t="n">
        <v>500</v>
      </c>
    </row>
    <row r="15" customFormat="false" ht="15" hidden="false" customHeight="true" outlineLevel="0" collapsed="false">
      <c r="A15" s="19" t="s">
        <v>180</v>
      </c>
      <c r="B15" s="20" t="n">
        <f aca="false">SUM(B5:B13)</f>
        <v>18270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0"/>
  </cols>
  <sheetData>
    <row r="1" customFormat="false" ht="17.25" hidden="false" customHeight="true" outlineLevel="0" collapsed="false">
      <c r="A1" s="2" t="s">
        <v>181</v>
      </c>
    </row>
    <row r="2" customFormat="false" ht="14.25" hidden="false" customHeight="true" outlineLevel="0" collapsed="false">
      <c r="A2" s="1" t="s">
        <v>182</v>
      </c>
    </row>
    <row r="3" customFormat="false" ht="14.25" hidden="false" customHeight="true" outlineLevel="0" collapsed="false">
      <c r="A3" s="1" t="s">
        <v>183</v>
      </c>
    </row>
    <row r="4" customFormat="false" ht="14.25" hidden="false" customHeight="true" outlineLevel="0" collapsed="false">
      <c r="A4" s="1" t="s">
        <v>184</v>
      </c>
    </row>
    <row r="5" customFormat="false" ht="14.25" hidden="false" customHeight="true" outlineLevel="0" collapsed="false">
      <c r="A5" s="1" t="s">
        <v>185</v>
      </c>
    </row>
    <row r="6" customFormat="false" ht="14.25" hidden="false" customHeight="true" outlineLevel="0" collapsed="false">
      <c r="A6" s="1" t="s">
        <v>186</v>
      </c>
    </row>
    <row r="7" customFormat="false" ht="14.25" hidden="false" customHeight="true" outlineLevel="0" collapsed="false">
      <c r="A7" s="1" t="s">
        <v>187</v>
      </c>
    </row>
    <row r="8" customFormat="false" ht="14.25" hidden="false" customHeight="true" outlineLevel="0" collapsed="false">
      <c r="A8" s="1" t="s">
        <v>188</v>
      </c>
    </row>
    <row r="9" customFormat="false" ht="15" hidden="false" customHeight="true" outlineLevel="0" collapsed="false">
      <c r="A9" s="1"/>
    </row>
    <row r="10" customFormat="false" ht="14.25" hidden="false" customHeight="true" outlineLevel="0" collapsed="false">
      <c r="A10" s="3" t="s">
        <v>189</v>
      </c>
    </row>
    <row r="11" customFormat="false" ht="15" hidden="false" customHeight="true" outlineLevel="0" collapsed="false">
      <c r="A11" s="1" t="s">
        <v>190</v>
      </c>
    </row>
    <row r="12" customFormat="false" ht="15" hidden="false" customHeight="true" outlineLevel="0" collapsed="false">
      <c r="A12" s="1" t="s">
        <v>191</v>
      </c>
    </row>
    <row r="13" customFormat="false" ht="15" hidden="false" customHeight="true" outlineLevel="0" collapsed="false">
      <c r="A13" s="1" t="s">
        <v>192</v>
      </c>
    </row>
    <row r="14" customFormat="false" ht="15" hidden="false" customHeight="true" outlineLevel="0" collapsed="false">
      <c r="A14" s="1" t="s">
        <v>193</v>
      </c>
    </row>
    <row r="15" customFormat="false" ht="15" hidden="false" customHeight="true" outlineLevel="0" collapsed="false">
      <c r="A15" s="1" t="s">
        <v>194</v>
      </c>
    </row>
    <row r="16" customFormat="false" ht="14.25" hidden="false" customHeight="true" outlineLevel="0" collapsed="false">
      <c r="A16" s="1" t="s">
        <v>195</v>
      </c>
    </row>
    <row r="17" customFormat="false" ht="15" hidden="false" customHeight="true" outlineLevel="0" collapsed="false">
      <c r="A17" s="1"/>
    </row>
    <row r="18" customFormat="false" ht="14.25" hidden="false" customHeight="true" outlineLevel="0" collapsed="false">
      <c r="A18" s="1" t="s">
        <v>196</v>
      </c>
    </row>
    <row r="19" customFormat="false" ht="15" hidden="false" customHeight="true" outlineLevel="0" collapsed="false">
      <c r="A19" s="1"/>
    </row>
    <row r="20" customFormat="false" ht="15" hidden="false" customHeight="true" outlineLevel="0" collapsed="false">
      <c r="A20" s="1"/>
    </row>
    <row r="21" customFormat="false" ht="15" hidden="false" customHeight="true" outlineLevel="0" collapsed="false">
      <c r="A21" s="1"/>
    </row>
    <row r="22" customFormat="false" ht="15" hidden="false" customHeight="true" outlineLevel="0" collapsed="false">
      <c r="A22" s="1"/>
    </row>
    <row r="23" customFormat="false" ht="15" hidden="false" customHeight="true" outlineLevel="0" collapsed="false">
      <c r="A23" s="1"/>
    </row>
    <row r="24" customFormat="false" ht="15" hidden="false" customHeight="true" outlineLevel="0" collapsed="false">
      <c r="A24" s="1"/>
    </row>
    <row r="25" customFormat="false" ht="15" hidden="false" customHeight="true" outlineLevel="0" collapsed="false">
      <c r="A25" s="1"/>
    </row>
    <row r="26" customFormat="false" ht="15" hidden="false" customHeight="true" outlineLevel="0" collapsed="false">
      <c r="A26" s="1"/>
    </row>
    <row r="27" customFormat="false" ht="15" hidden="false" customHeight="true" outlineLevel="0" collapsed="false">
      <c r="A27" s="1"/>
    </row>
    <row r="28" customFormat="false" ht="15" hidden="false" customHeight="true" outlineLevel="0" collapsed="false">
      <c r="A28" s="1"/>
    </row>
    <row r="29" customFormat="false" ht="15" hidden="false" customHeight="true" outlineLevel="0" collapsed="false">
      <c r="A29" s="1"/>
    </row>
    <row r="30" customFormat="false" ht="15" hidden="false" customHeight="true" outlineLevel="0" collapsed="false">
      <c r="A30" s="1"/>
    </row>
    <row r="31" customFormat="false" ht="15" hidden="false" customHeight="true" outlineLevel="0" collapsed="false">
      <c r="A31" s="1"/>
    </row>
    <row r="32" customFormat="false" ht="15" hidden="false" customHeight="true" outlineLevel="0" collapsed="false">
      <c r="A32" s="1"/>
    </row>
    <row r="33" customFormat="false" ht="15" hidden="false" customHeight="true" outlineLevel="0" collapsed="false">
      <c r="A33" s="1"/>
    </row>
    <row r="34" customFormat="false" ht="15" hidden="false" customHeight="true" outlineLevel="0" collapsed="false">
      <c r="A34" s="1"/>
    </row>
    <row r="35" customFormat="false" ht="15" hidden="false" customHeight="true" outlineLevel="0" collapsed="false">
      <c r="A35" s="1"/>
    </row>
    <row r="36" customFormat="false" ht="15" hidden="false" customHeight="true" outlineLevel="0" collapsed="false">
      <c r="A36" s="1"/>
    </row>
    <row r="37" customFormat="false" ht="15" hidden="false" customHeight="true" outlineLevel="0" collapsed="false">
      <c r="A37" s="1"/>
    </row>
    <row r="38" customFormat="false" ht="15" hidden="false" customHeight="true" outlineLevel="0" collapsed="false">
      <c r="A38" s="1"/>
    </row>
    <row r="39" customFormat="false" ht="15" hidden="false" customHeight="true" outlineLevel="0" collapsed="false">
      <c r="A39" s="1"/>
    </row>
    <row r="40" customFormat="false" ht="15" hidden="false" customHeight="true" outlineLevel="0" collapsed="false">
      <c r="A40" s="1"/>
    </row>
    <row r="41" customFormat="false" ht="15" hidden="false" customHeight="true" outlineLevel="0" collapsed="false">
      <c r="A41" s="1"/>
    </row>
    <row r="42" customFormat="false" ht="15" hidden="false" customHeight="true" outlineLevel="0" collapsed="false">
      <c r="A42" s="1"/>
    </row>
    <row r="43" customFormat="false" ht="15" hidden="false" customHeight="true" outlineLevel="0" collapsed="false">
      <c r="A43" s="1"/>
    </row>
    <row r="44" customFormat="false" ht="15" hidden="false" customHeight="true" outlineLevel="0" collapsed="false">
      <c r="A44" s="1"/>
    </row>
    <row r="45" customFormat="false" ht="15" hidden="false" customHeight="true" outlineLevel="0" collapsed="false">
      <c r="A45" s="1"/>
    </row>
    <row r="46" customFormat="false" ht="15" hidden="false" customHeight="true" outlineLevel="0" collapsed="false">
      <c r="A46" s="1"/>
    </row>
    <row r="47" customFormat="false" ht="15" hidden="false" customHeight="true" outlineLevel="0" collapsed="false">
      <c r="A47" s="1"/>
    </row>
    <row r="48" customFormat="false" ht="15" hidden="false" customHeight="true" outlineLevel="0" collapsed="false">
      <c r="A48" s="1"/>
    </row>
    <row r="49" customFormat="false" ht="15" hidden="false" customHeight="true" outlineLevel="0" collapsed="false">
      <c r="A49" s="1"/>
    </row>
    <row r="50" customFormat="false" ht="15" hidden="false" customHeight="true" outlineLevel="0" collapsed="false">
      <c r="A50" s="1"/>
    </row>
    <row r="51" customFormat="false" ht="15" hidden="false" customHeight="true" outlineLevel="0" collapsed="false">
      <c r="A51" s="1"/>
    </row>
    <row r="52" customFormat="false" ht="15" hidden="false" customHeight="true" outlineLevel="0" collapsed="false">
      <c r="A52" s="1"/>
    </row>
    <row r="53" customFormat="false" ht="15" hidden="false" customHeight="true" outlineLevel="0" collapsed="false">
      <c r="A53" s="1"/>
    </row>
    <row r="54" customFormat="false" ht="15" hidden="false" customHeight="true" outlineLevel="0" collapsed="false">
      <c r="A54" s="1"/>
    </row>
    <row r="55" customFormat="false" ht="15" hidden="false" customHeight="true" outlineLevel="0" collapsed="false">
      <c r="A55" s="1"/>
    </row>
    <row r="56" customFormat="false" ht="15" hidden="false" customHeight="true" outlineLevel="0" collapsed="false">
      <c r="A56" s="1"/>
    </row>
    <row r="57" customFormat="false" ht="15" hidden="false" customHeight="true" outlineLevel="0" collapsed="false">
      <c r="A57" s="1"/>
    </row>
    <row r="58" customFormat="false" ht="15" hidden="false" customHeight="true" outlineLevel="0" collapsed="false">
      <c r="A58" s="1"/>
    </row>
    <row r="59" customFormat="false" ht="15" hidden="false" customHeight="true" outlineLevel="0" collapsed="false">
      <c r="A59" s="1"/>
    </row>
    <row r="60" customFormat="false" ht="15" hidden="false" customHeight="true" outlineLevel="0" collapsed="false">
      <c r="A60" s="1"/>
    </row>
    <row r="61" customFormat="false" ht="15" hidden="false" customHeight="true" outlineLevel="0" collapsed="false">
      <c r="A61" s="1"/>
    </row>
    <row r="62" customFormat="false" ht="15" hidden="false" customHeight="true" outlineLevel="0" collapsed="false">
      <c r="A62" s="1"/>
    </row>
    <row r="63" customFormat="false" ht="15" hidden="false" customHeight="true" outlineLevel="0" collapsed="false">
      <c r="A63" s="1"/>
    </row>
    <row r="64" customFormat="false" ht="15" hidden="false" customHeight="true" outlineLevel="0" collapsed="false">
      <c r="A64" s="1"/>
    </row>
    <row r="65" customFormat="false" ht="15" hidden="false" customHeight="true" outlineLevel="0" collapsed="false">
      <c r="A65" s="1"/>
    </row>
    <row r="66" customFormat="false" ht="15" hidden="false" customHeight="true" outlineLevel="0" collapsed="false">
      <c r="A66" s="1"/>
    </row>
    <row r="67" customFormat="false" ht="15" hidden="false" customHeight="true" outlineLevel="0" collapsed="false">
      <c r="A67" s="1"/>
    </row>
    <row r="68" customFormat="false" ht="15" hidden="false" customHeight="true" outlineLevel="0" collapsed="false">
      <c r="A68" s="1"/>
    </row>
    <row r="69" customFormat="false" ht="15" hidden="false" customHeight="true" outlineLevel="0" collapsed="false">
      <c r="A69" s="1"/>
    </row>
    <row r="70" customFormat="false" ht="15" hidden="false" customHeight="true" outlineLevel="0" collapsed="false">
      <c r="A70" s="1"/>
    </row>
    <row r="71" customFormat="false" ht="15" hidden="false" customHeight="true" outlineLevel="0" collapsed="false">
      <c r="A71" s="1"/>
    </row>
    <row r="72" customFormat="false" ht="15" hidden="false" customHeight="true" outlineLevel="0" collapsed="false">
      <c r="A72" s="1"/>
    </row>
    <row r="73" customFormat="false" ht="15" hidden="false" customHeight="true" outlineLevel="0" collapsed="false">
      <c r="A73" s="1"/>
    </row>
    <row r="74" customFormat="false" ht="15" hidden="false" customHeight="true" outlineLevel="0" collapsed="false">
      <c r="A74" s="1"/>
    </row>
    <row r="75" customFormat="false" ht="15" hidden="false" customHeight="true" outlineLevel="0" collapsed="false">
      <c r="A75" s="1"/>
    </row>
    <row r="76" customFormat="false" ht="15" hidden="false" customHeight="true" outlineLevel="0" collapsed="false">
      <c r="A76" s="1"/>
    </row>
    <row r="77" customFormat="false" ht="15" hidden="false" customHeight="true" outlineLevel="0" collapsed="false">
      <c r="A77" s="1"/>
    </row>
    <row r="78" customFormat="false" ht="15" hidden="false" customHeight="true" outlineLevel="0" collapsed="false">
      <c r="A78" s="1"/>
    </row>
    <row r="79" customFormat="false" ht="15" hidden="false" customHeight="true" outlineLevel="0" collapsed="false">
      <c r="A79" s="1"/>
    </row>
    <row r="80" customFormat="false" ht="15" hidden="false" customHeight="true" outlineLevel="0" collapsed="false">
      <c r="A80" s="1"/>
    </row>
    <row r="81" customFormat="false" ht="15" hidden="false" customHeight="true" outlineLevel="0" collapsed="false">
      <c r="A81" s="1"/>
    </row>
    <row r="82" customFormat="false" ht="15" hidden="false" customHeight="true" outlineLevel="0" collapsed="false">
      <c r="A82" s="1"/>
    </row>
    <row r="83" customFormat="false" ht="15" hidden="false" customHeight="true" outlineLevel="0" collapsed="false">
      <c r="A83" s="1"/>
    </row>
    <row r="84" customFormat="false" ht="15" hidden="false" customHeight="true" outlineLevel="0" collapsed="false">
      <c r="A84" s="1"/>
    </row>
    <row r="85" customFormat="false" ht="15" hidden="false" customHeight="true" outlineLevel="0" collapsed="false">
      <c r="A85" s="1"/>
    </row>
    <row r="86" customFormat="false" ht="15" hidden="false" customHeight="true" outlineLevel="0" collapsed="false">
      <c r="A86" s="1"/>
    </row>
    <row r="87" customFormat="false" ht="15" hidden="false" customHeight="true" outlineLevel="0" collapsed="false">
      <c r="A87" s="1"/>
    </row>
    <row r="88" customFormat="false" ht="15" hidden="false" customHeight="true" outlineLevel="0" collapsed="false">
      <c r="A88" s="1"/>
    </row>
    <row r="89" customFormat="false" ht="15" hidden="false" customHeight="true" outlineLevel="0" collapsed="false">
      <c r="A89" s="1"/>
    </row>
    <row r="90" customFormat="false" ht="15" hidden="false" customHeight="true" outlineLevel="0" collapsed="false">
      <c r="A90" s="1"/>
    </row>
    <row r="91" customFormat="false" ht="15" hidden="false" customHeight="true" outlineLevel="0" collapsed="false">
      <c r="A91" s="1"/>
    </row>
    <row r="92" customFormat="false" ht="15" hidden="false" customHeight="true" outlineLevel="0" collapsed="false">
      <c r="A92" s="1"/>
    </row>
    <row r="93" customFormat="false" ht="15" hidden="false" customHeight="true" outlineLevel="0" collapsed="false">
      <c r="A93" s="1"/>
    </row>
    <row r="94" customFormat="false" ht="15" hidden="false" customHeight="true" outlineLevel="0" collapsed="false">
      <c r="A94" s="1"/>
    </row>
    <row r="95" customFormat="false" ht="15" hidden="false" customHeight="true" outlineLevel="0" collapsed="false">
      <c r="A95" s="1"/>
    </row>
    <row r="96" customFormat="false" ht="15" hidden="false" customHeight="true" outlineLevel="0" collapsed="false">
      <c r="A96" s="1"/>
    </row>
    <row r="97" customFormat="false" ht="15" hidden="false" customHeight="true" outlineLevel="0" collapsed="false">
      <c r="A97" s="1"/>
    </row>
    <row r="98" customFormat="false" ht="15" hidden="false" customHeight="true" outlineLevel="0" collapsed="false">
      <c r="A98" s="1"/>
    </row>
    <row r="99" customFormat="false" ht="15" hidden="false" customHeight="true" outlineLevel="0" collapsed="false">
      <c r="A99" s="1"/>
    </row>
    <row r="100" customFormat="false" ht="15" hidden="false" customHeight="true" outlineLevel="0" collapsed="false">
      <c r="A100" s="1"/>
    </row>
    <row r="101" customFormat="false" ht="15" hidden="false" customHeight="true" outlineLevel="0" collapsed="false">
      <c r="A101" s="1"/>
    </row>
    <row r="102" customFormat="false" ht="15" hidden="false" customHeight="true" outlineLevel="0" collapsed="false">
      <c r="A102" s="1"/>
    </row>
    <row r="103" customFormat="false" ht="15" hidden="false" customHeight="true" outlineLevel="0" collapsed="false">
      <c r="A103" s="1"/>
    </row>
    <row r="104" customFormat="false" ht="15" hidden="false" customHeight="true" outlineLevel="0" collapsed="false">
      <c r="A104" s="1"/>
    </row>
    <row r="105" customFormat="false" ht="15" hidden="false" customHeight="true" outlineLevel="0" collapsed="false">
      <c r="A105" s="1"/>
    </row>
    <row r="106" customFormat="false" ht="15" hidden="false" customHeight="true" outlineLevel="0" collapsed="false">
      <c r="A106" s="1"/>
    </row>
    <row r="107" customFormat="false" ht="15" hidden="false" customHeight="true" outlineLevel="0" collapsed="false">
      <c r="A107" s="1"/>
    </row>
    <row r="108" customFormat="false" ht="15" hidden="false" customHeight="true" outlineLevel="0" collapsed="false">
      <c r="A108" s="1"/>
    </row>
    <row r="109" customFormat="false" ht="15" hidden="false" customHeight="true" outlineLevel="0" collapsed="false">
      <c r="A109" s="1"/>
    </row>
    <row r="110" customFormat="false" ht="15" hidden="false" customHeight="true" outlineLevel="0" collapsed="false">
      <c r="A110" s="1"/>
    </row>
    <row r="111" customFormat="false" ht="15" hidden="false" customHeight="true" outlineLevel="0" collapsed="false">
      <c r="A111" s="1"/>
    </row>
    <row r="112" customFormat="false" ht="15" hidden="false" customHeight="true" outlineLevel="0" collapsed="false">
      <c r="A112" s="1"/>
    </row>
    <row r="113" customFormat="false" ht="15" hidden="false" customHeight="true" outlineLevel="0" collapsed="false">
      <c r="A113" s="1"/>
    </row>
    <row r="114" customFormat="false" ht="15" hidden="false" customHeight="true" outlineLevel="0" collapsed="false">
      <c r="A114" s="1"/>
    </row>
    <row r="115" customFormat="false" ht="15" hidden="false" customHeight="true" outlineLevel="0" collapsed="false">
      <c r="A115" s="1"/>
    </row>
    <row r="116" customFormat="false" ht="15" hidden="false" customHeight="true" outlineLevel="0" collapsed="false">
      <c r="A116" s="1"/>
    </row>
    <row r="117" customFormat="false" ht="15" hidden="false" customHeight="true" outlineLevel="0" collapsed="false">
      <c r="A117" s="1"/>
    </row>
    <row r="118" customFormat="false" ht="15" hidden="false" customHeight="true" outlineLevel="0" collapsed="false">
      <c r="A118" s="1"/>
    </row>
    <row r="119" customFormat="false" ht="15" hidden="false" customHeight="true" outlineLevel="0" collapsed="false">
      <c r="A119" s="1"/>
    </row>
    <row r="120" customFormat="false" ht="15" hidden="false" customHeight="true" outlineLevel="0" collapsed="false">
      <c r="A120" s="1"/>
    </row>
    <row r="121" customFormat="false" ht="15" hidden="false" customHeight="true" outlineLevel="0" collapsed="false">
      <c r="A121" s="1"/>
    </row>
    <row r="122" customFormat="false" ht="15" hidden="false" customHeight="true" outlineLevel="0" collapsed="false">
      <c r="A122" s="1"/>
    </row>
    <row r="123" customFormat="false" ht="15" hidden="false" customHeight="true" outlineLevel="0" collapsed="false">
      <c r="A123" s="1"/>
    </row>
    <row r="124" customFormat="false" ht="15" hidden="false" customHeight="true" outlineLevel="0" collapsed="false">
      <c r="A124" s="1"/>
    </row>
    <row r="125" customFormat="false" ht="15" hidden="false" customHeight="true" outlineLevel="0" collapsed="false">
      <c r="A125" s="1"/>
    </row>
    <row r="126" customFormat="false" ht="15" hidden="false" customHeight="true" outlineLevel="0" collapsed="false">
      <c r="A126" s="1"/>
    </row>
    <row r="127" customFormat="false" ht="15" hidden="false" customHeight="true" outlineLevel="0" collapsed="false">
      <c r="A127" s="1"/>
    </row>
    <row r="128" customFormat="false" ht="15" hidden="false" customHeight="true" outlineLevel="0" collapsed="false">
      <c r="A128" s="1"/>
    </row>
    <row r="129" customFormat="false" ht="15" hidden="false" customHeight="true" outlineLevel="0" collapsed="false">
      <c r="A129" s="1"/>
    </row>
    <row r="130" customFormat="false" ht="15" hidden="false" customHeight="true" outlineLevel="0" collapsed="false">
      <c r="A130" s="1"/>
    </row>
    <row r="131" customFormat="false" ht="15" hidden="false" customHeight="true" outlineLevel="0" collapsed="false">
      <c r="A131" s="1"/>
    </row>
    <row r="132" customFormat="false" ht="15" hidden="false" customHeight="true" outlineLevel="0" collapsed="false">
      <c r="A132" s="1"/>
    </row>
    <row r="133" customFormat="false" ht="15" hidden="false" customHeight="true" outlineLevel="0" collapsed="false">
      <c r="A133" s="1"/>
    </row>
    <row r="134" customFormat="false" ht="15" hidden="false" customHeight="true" outlineLevel="0" collapsed="false">
      <c r="A134" s="1"/>
    </row>
    <row r="135" customFormat="false" ht="15" hidden="false" customHeight="true" outlineLevel="0" collapsed="false">
      <c r="A135" s="1"/>
    </row>
    <row r="136" customFormat="false" ht="15" hidden="false" customHeight="true" outlineLevel="0" collapsed="false">
      <c r="A136" s="1"/>
    </row>
    <row r="137" customFormat="false" ht="15" hidden="false" customHeight="true" outlineLevel="0" collapsed="false">
      <c r="A137" s="1"/>
    </row>
    <row r="138" customFormat="false" ht="15" hidden="false" customHeight="true" outlineLevel="0" collapsed="false">
      <c r="A138" s="1"/>
    </row>
    <row r="139" customFormat="false" ht="15" hidden="false" customHeight="true" outlineLevel="0" collapsed="false">
      <c r="A139" s="1"/>
    </row>
    <row r="140" customFormat="false" ht="15" hidden="false" customHeight="true" outlineLevel="0" collapsed="false">
      <c r="A140" s="1"/>
    </row>
    <row r="141" customFormat="false" ht="15" hidden="false" customHeight="true" outlineLevel="0" collapsed="false">
      <c r="A141" s="1"/>
    </row>
    <row r="142" customFormat="false" ht="15" hidden="false" customHeight="true" outlineLevel="0" collapsed="false">
      <c r="A142" s="1"/>
    </row>
    <row r="143" customFormat="false" ht="15" hidden="false" customHeight="true" outlineLevel="0" collapsed="false">
      <c r="A143" s="1"/>
    </row>
    <row r="144" customFormat="false" ht="15" hidden="false" customHeight="true" outlineLevel="0" collapsed="false">
      <c r="A144" s="1"/>
    </row>
    <row r="145" customFormat="false" ht="15" hidden="false" customHeight="true" outlineLevel="0" collapsed="false">
      <c r="A145" s="1"/>
    </row>
    <row r="146" customFormat="false" ht="15" hidden="false" customHeight="true" outlineLevel="0" collapsed="false">
      <c r="A146" s="1"/>
    </row>
    <row r="147" customFormat="false" ht="15" hidden="false" customHeight="true" outlineLevel="0" collapsed="false">
      <c r="A147" s="1"/>
    </row>
    <row r="148" customFormat="false" ht="15" hidden="false" customHeight="true" outlineLevel="0" collapsed="false">
      <c r="A148" s="1"/>
    </row>
    <row r="149" customFormat="false" ht="15" hidden="false" customHeight="true" outlineLevel="0" collapsed="false">
      <c r="A149" s="1"/>
    </row>
    <row r="150" customFormat="false" ht="15" hidden="false" customHeight="true" outlineLevel="0" collapsed="false">
      <c r="A150" s="1"/>
    </row>
    <row r="151" customFormat="false" ht="15" hidden="false" customHeight="true" outlineLevel="0" collapsed="false">
      <c r="A151" s="1"/>
    </row>
    <row r="152" customFormat="false" ht="15" hidden="false" customHeight="true" outlineLevel="0" collapsed="false">
      <c r="A152" s="1"/>
    </row>
    <row r="153" customFormat="false" ht="15" hidden="false" customHeight="true" outlineLevel="0" collapsed="false">
      <c r="A153" s="1"/>
    </row>
    <row r="154" customFormat="false" ht="15" hidden="false" customHeight="true" outlineLevel="0" collapsed="false">
      <c r="A154" s="1"/>
    </row>
    <row r="155" customFormat="false" ht="15" hidden="false" customHeight="true" outlineLevel="0" collapsed="false">
      <c r="A155" s="1"/>
    </row>
    <row r="156" customFormat="false" ht="15" hidden="false" customHeight="true" outlineLevel="0" collapsed="false">
      <c r="A156" s="1"/>
    </row>
    <row r="157" customFormat="false" ht="15" hidden="false" customHeight="true" outlineLevel="0" collapsed="false">
      <c r="A157" s="1"/>
    </row>
    <row r="158" customFormat="false" ht="15" hidden="false" customHeight="true" outlineLevel="0" collapsed="false">
      <c r="A158" s="1"/>
    </row>
    <row r="159" customFormat="false" ht="15" hidden="false" customHeight="true" outlineLevel="0" collapsed="false">
      <c r="A159" s="1"/>
    </row>
    <row r="160" customFormat="false" ht="15" hidden="false" customHeight="true" outlineLevel="0" collapsed="false">
      <c r="A160" s="1"/>
    </row>
    <row r="161" customFormat="false" ht="15" hidden="false" customHeight="true" outlineLevel="0" collapsed="false">
      <c r="A161" s="1"/>
    </row>
    <row r="162" customFormat="false" ht="15" hidden="false" customHeight="true" outlineLevel="0" collapsed="false">
      <c r="A162" s="1"/>
    </row>
    <row r="163" customFormat="false" ht="15" hidden="false" customHeight="true" outlineLevel="0" collapsed="false">
      <c r="A163" s="1"/>
    </row>
    <row r="164" customFormat="false" ht="15" hidden="false" customHeight="true" outlineLevel="0" collapsed="false">
      <c r="A164" s="1"/>
    </row>
    <row r="165" customFormat="false" ht="15" hidden="false" customHeight="true" outlineLevel="0" collapsed="false">
      <c r="A165" s="1"/>
    </row>
    <row r="166" customFormat="false" ht="15" hidden="false" customHeight="true" outlineLevel="0" collapsed="false">
      <c r="A166" s="1"/>
    </row>
    <row r="167" customFormat="false" ht="15" hidden="false" customHeight="true" outlineLevel="0" collapsed="false">
      <c r="A167" s="1"/>
    </row>
    <row r="168" customFormat="false" ht="15" hidden="false" customHeight="true" outlineLevel="0" collapsed="false">
      <c r="A168" s="1"/>
    </row>
    <row r="169" customFormat="false" ht="15" hidden="false" customHeight="true" outlineLevel="0" collapsed="false">
      <c r="A169" s="1"/>
    </row>
    <row r="170" customFormat="false" ht="15" hidden="false" customHeight="true" outlineLevel="0" collapsed="false">
      <c r="A170" s="1"/>
    </row>
    <row r="171" customFormat="false" ht="15" hidden="false" customHeight="true" outlineLevel="0" collapsed="false">
      <c r="A171" s="1"/>
    </row>
    <row r="172" customFormat="false" ht="15" hidden="false" customHeight="true" outlineLevel="0" collapsed="false">
      <c r="A172" s="1"/>
    </row>
    <row r="173" customFormat="false" ht="15" hidden="false" customHeight="true" outlineLevel="0" collapsed="false">
      <c r="A173" s="1"/>
    </row>
    <row r="174" customFormat="false" ht="15" hidden="false" customHeight="true" outlineLevel="0" collapsed="false">
      <c r="A174" s="1"/>
    </row>
    <row r="175" customFormat="false" ht="15" hidden="false" customHeight="true" outlineLevel="0" collapsed="false">
      <c r="A175" s="1"/>
    </row>
    <row r="176" customFormat="false" ht="15" hidden="false" customHeight="true" outlineLevel="0" collapsed="false">
      <c r="A176" s="1"/>
    </row>
    <row r="177" customFormat="false" ht="15" hidden="false" customHeight="true" outlineLevel="0" collapsed="false">
      <c r="A177" s="1"/>
    </row>
    <row r="178" customFormat="false" ht="15" hidden="false" customHeight="true" outlineLevel="0" collapsed="false">
      <c r="A178" s="1"/>
    </row>
    <row r="179" customFormat="false" ht="15" hidden="false" customHeight="true" outlineLevel="0" collapsed="false">
      <c r="A179" s="1"/>
    </row>
    <row r="180" customFormat="false" ht="15" hidden="false" customHeight="true" outlineLevel="0" collapsed="false">
      <c r="A180" s="1"/>
    </row>
    <row r="181" customFormat="false" ht="15" hidden="false" customHeight="true" outlineLevel="0" collapsed="false">
      <c r="A181" s="1"/>
    </row>
    <row r="182" customFormat="false" ht="15" hidden="false" customHeight="true" outlineLevel="0" collapsed="false">
      <c r="A182" s="1"/>
    </row>
    <row r="183" customFormat="false" ht="15" hidden="false" customHeight="true" outlineLevel="0" collapsed="false">
      <c r="A183" s="1"/>
    </row>
    <row r="184" customFormat="false" ht="15" hidden="false" customHeight="true" outlineLevel="0" collapsed="false">
      <c r="A184" s="1"/>
    </row>
    <row r="185" customFormat="false" ht="15" hidden="false" customHeight="true" outlineLevel="0" collapsed="false">
      <c r="A185" s="1"/>
    </row>
    <row r="186" customFormat="false" ht="15" hidden="false" customHeight="true" outlineLevel="0" collapsed="false">
      <c r="A186" s="1"/>
    </row>
    <row r="187" customFormat="false" ht="15" hidden="false" customHeight="true" outlineLevel="0" collapsed="false">
      <c r="A187" s="1"/>
    </row>
    <row r="188" customFormat="false" ht="15" hidden="false" customHeight="true" outlineLevel="0" collapsed="false">
      <c r="A188" s="1"/>
    </row>
    <row r="189" customFormat="false" ht="15" hidden="false" customHeight="true" outlineLevel="0" collapsed="false">
      <c r="A189" s="1"/>
    </row>
    <row r="190" customFormat="false" ht="15" hidden="false" customHeight="true" outlineLevel="0" collapsed="false">
      <c r="A190" s="1"/>
    </row>
    <row r="191" customFormat="false" ht="15" hidden="false" customHeight="true" outlineLevel="0" collapsed="false">
      <c r="A191" s="1"/>
    </row>
    <row r="192" customFormat="false" ht="15" hidden="false" customHeight="true" outlineLevel="0" collapsed="false">
      <c r="A192" s="1"/>
    </row>
    <row r="193" customFormat="false" ht="15" hidden="false" customHeight="true" outlineLevel="0" collapsed="false">
      <c r="A193" s="1"/>
    </row>
    <row r="194" customFormat="false" ht="15" hidden="false" customHeight="true" outlineLevel="0" collapsed="false">
      <c r="A194" s="1"/>
    </row>
    <row r="195" customFormat="false" ht="15" hidden="false" customHeight="true" outlineLevel="0" collapsed="false">
      <c r="A195" s="1"/>
    </row>
    <row r="196" customFormat="false" ht="15" hidden="false" customHeight="true" outlineLevel="0" collapsed="false">
      <c r="A196" s="1"/>
    </row>
    <row r="197" customFormat="false" ht="15" hidden="false" customHeight="true" outlineLevel="0" collapsed="false">
      <c r="A197" s="1"/>
    </row>
    <row r="198" customFormat="false" ht="15" hidden="false" customHeight="true" outlineLevel="0" collapsed="false">
      <c r="A198" s="1"/>
    </row>
    <row r="199" customFormat="false" ht="15" hidden="false" customHeight="true" outlineLevel="0" collapsed="false">
      <c r="A199" s="1"/>
    </row>
    <row r="200" customFormat="false" ht="15" hidden="false" customHeight="true" outlineLevel="0" collapsed="false">
      <c r="A200" s="1"/>
    </row>
    <row r="201" customFormat="false" ht="15" hidden="false" customHeight="true" outlineLevel="0" collapsed="false">
      <c r="A201" s="1"/>
    </row>
    <row r="202" customFormat="false" ht="15" hidden="false" customHeight="true" outlineLevel="0" collapsed="false">
      <c r="A202" s="1"/>
    </row>
    <row r="203" customFormat="false" ht="15" hidden="false" customHeight="true" outlineLevel="0" collapsed="false">
      <c r="A203" s="1"/>
    </row>
    <row r="204" customFormat="false" ht="15" hidden="false" customHeight="true" outlineLevel="0" collapsed="false">
      <c r="A204" s="1"/>
    </row>
    <row r="205" customFormat="false" ht="15" hidden="false" customHeight="true" outlineLevel="0" collapsed="false">
      <c r="A205" s="1"/>
    </row>
    <row r="206" customFormat="false" ht="15" hidden="false" customHeight="true" outlineLevel="0" collapsed="false">
      <c r="A206" s="1"/>
    </row>
    <row r="207" customFormat="false" ht="15" hidden="false" customHeight="true" outlineLevel="0" collapsed="false">
      <c r="A207" s="1"/>
    </row>
    <row r="208" customFormat="false" ht="15" hidden="false" customHeight="true" outlineLevel="0" collapsed="false">
      <c r="A208" s="1"/>
    </row>
    <row r="209" customFormat="false" ht="15" hidden="false" customHeight="true" outlineLevel="0" collapsed="false">
      <c r="A209" s="1"/>
    </row>
    <row r="210" customFormat="false" ht="15" hidden="false" customHeight="true" outlineLevel="0" collapsed="false">
      <c r="A210" s="1"/>
    </row>
    <row r="211" customFormat="false" ht="15" hidden="false" customHeight="true" outlineLevel="0" collapsed="false">
      <c r="A211" s="1"/>
    </row>
    <row r="212" customFormat="false" ht="15" hidden="false" customHeight="true" outlineLevel="0" collapsed="false">
      <c r="A212" s="1"/>
    </row>
    <row r="213" customFormat="false" ht="15" hidden="false" customHeight="true" outlineLevel="0" collapsed="false">
      <c r="A213" s="1"/>
    </row>
    <row r="214" customFormat="false" ht="15" hidden="false" customHeight="true" outlineLevel="0" collapsed="false">
      <c r="A214" s="1"/>
    </row>
    <row r="215" customFormat="false" ht="15" hidden="false" customHeight="true" outlineLevel="0" collapsed="false">
      <c r="A215" s="1"/>
    </row>
    <row r="216" customFormat="false" ht="15" hidden="false" customHeight="true" outlineLevel="0" collapsed="false">
      <c r="A216" s="1"/>
    </row>
    <row r="217" customFormat="false" ht="15" hidden="false" customHeight="true" outlineLevel="0" collapsed="false">
      <c r="A217" s="1"/>
    </row>
    <row r="218" customFormat="false" ht="15" hidden="false" customHeight="true" outlineLevel="0" collapsed="false">
      <c r="A218" s="1"/>
    </row>
    <row r="219" customFormat="false" ht="15" hidden="false" customHeight="true" outlineLevel="0" collapsed="false">
      <c r="A219" s="1"/>
    </row>
    <row r="220" customFormat="false" ht="15" hidden="false" customHeight="true" outlineLevel="0" collapsed="false">
      <c r="A220" s="1"/>
    </row>
    <row r="221" customFormat="false" ht="15" hidden="false" customHeight="true" outlineLevel="0" collapsed="false">
      <c r="A221" s="1"/>
    </row>
    <row r="222" customFormat="false" ht="15" hidden="false" customHeight="true" outlineLevel="0" collapsed="false">
      <c r="A222" s="1"/>
    </row>
    <row r="223" customFormat="false" ht="15" hidden="false" customHeight="true" outlineLevel="0" collapsed="false">
      <c r="A223" s="1"/>
    </row>
    <row r="224" customFormat="false" ht="15" hidden="false" customHeight="true" outlineLevel="0" collapsed="false">
      <c r="A224" s="1"/>
    </row>
    <row r="225" customFormat="false" ht="15" hidden="false" customHeight="true" outlineLevel="0" collapsed="false">
      <c r="A225" s="1"/>
    </row>
    <row r="226" customFormat="false" ht="15" hidden="false" customHeight="true" outlineLevel="0" collapsed="false">
      <c r="A226" s="1"/>
    </row>
    <row r="227" customFormat="false" ht="15" hidden="false" customHeight="true" outlineLevel="0" collapsed="false">
      <c r="A227" s="1"/>
    </row>
    <row r="228" customFormat="false" ht="15" hidden="false" customHeight="true" outlineLevel="0" collapsed="false">
      <c r="A228" s="1"/>
    </row>
    <row r="229" customFormat="false" ht="15" hidden="false" customHeight="true" outlineLevel="0" collapsed="false">
      <c r="A229" s="1"/>
    </row>
    <row r="230" customFormat="false" ht="15" hidden="false" customHeight="true" outlineLevel="0" collapsed="false">
      <c r="A230" s="1"/>
    </row>
    <row r="231" customFormat="false" ht="15" hidden="false" customHeight="true" outlineLevel="0" collapsed="false">
      <c r="A231" s="1"/>
    </row>
    <row r="232" customFormat="false" ht="15" hidden="false" customHeight="true" outlineLevel="0" collapsed="false">
      <c r="A232" s="1"/>
    </row>
    <row r="233" customFormat="false" ht="15" hidden="false" customHeight="true" outlineLevel="0" collapsed="false">
      <c r="A233" s="1"/>
    </row>
    <row r="234" customFormat="false" ht="15" hidden="false" customHeight="true" outlineLevel="0" collapsed="false">
      <c r="A234" s="1"/>
    </row>
    <row r="235" customFormat="false" ht="15" hidden="false" customHeight="true" outlineLevel="0" collapsed="false">
      <c r="A235" s="1"/>
    </row>
    <row r="236" customFormat="false" ht="15" hidden="false" customHeight="true" outlineLevel="0" collapsed="false">
      <c r="A236" s="1"/>
    </row>
    <row r="237" customFormat="false" ht="15" hidden="false" customHeight="true" outlineLevel="0" collapsed="false">
      <c r="A237" s="1"/>
    </row>
    <row r="238" customFormat="false" ht="15" hidden="false" customHeight="true" outlineLevel="0" collapsed="false">
      <c r="A238" s="1"/>
    </row>
    <row r="239" customFormat="false" ht="15" hidden="false" customHeight="true" outlineLevel="0" collapsed="false">
      <c r="A239" s="1"/>
    </row>
    <row r="240" customFormat="false" ht="15" hidden="false" customHeight="true" outlineLevel="0" collapsed="false">
      <c r="A240" s="1"/>
    </row>
    <row r="241" customFormat="false" ht="15" hidden="false" customHeight="true" outlineLevel="0" collapsed="false">
      <c r="A241" s="1"/>
    </row>
    <row r="242" customFormat="false" ht="15" hidden="false" customHeight="true" outlineLevel="0" collapsed="false">
      <c r="A242" s="1"/>
    </row>
    <row r="243" customFormat="false" ht="15" hidden="false" customHeight="true" outlineLevel="0" collapsed="false">
      <c r="A243" s="1"/>
    </row>
    <row r="244" customFormat="false" ht="15" hidden="false" customHeight="true" outlineLevel="0" collapsed="false">
      <c r="A244" s="1"/>
    </row>
    <row r="245" customFormat="false" ht="15" hidden="false" customHeight="true" outlineLevel="0" collapsed="false">
      <c r="A245" s="1"/>
    </row>
    <row r="246" customFormat="false" ht="15" hidden="false" customHeight="true" outlineLevel="0" collapsed="false">
      <c r="A246" s="1"/>
    </row>
    <row r="247" customFormat="false" ht="15" hidden="false" customHeight="true" outlineLevel="0" collapsed="false">
      <c r="A247" s="1"/>
    </row>
    <row r="248" customFormat="false" ht="15" hidden="false" customHeight="true" outlineLevel="0" collapsed="false">
      <c r="A248" s="1"/>
    </row>
    <row r="249" customFormat="false" ht="15" hidden="false" customHeight="true" outlineLevel="0" collapsed="false">
      <c r="A249" s="1"/>
    </row>
    <row r="250" customFormat="false" ht="15" hidden="false" customHeight="true" outlineLevel="0" collapsed="false">
      <c r="A250" s="1"/>
    </row>
    <row r="251" customFormat="false" ht="15" hidden="false" customHeight="true" outlineLevel="0" collapsed="false">
      <c r="A251" s="1"/>
    </row>
    <row r="252" customFormat="false" ht="15" hidden="false" customHeight="true" outlineLevel="0" collapsed="false">
      <c r="A252" s="1"/>
    </row>
    <row r="253" customFormat="false" ht="15" hidden="false" customHeight="true" outlineLevel="0" collapsed="false">
      <c r="A253" s="1"/>
    </row>
    <row r="254" customFormat="false" ht="15" hidden="false" customHeight="true" outlineLevel="0" collapsed="false">
      <c r="A254" s="1"/>
    </row>
    <row r="255" customFormat="false" ht="15" hidden="false" customHeight="true" outlineLevel="0" collapsed="false">
      <c r="A255" s="1"/>
    </row>
    <row r="256" customFormat="false" ht="15" hidden="false" customHeight="true" outlineLevel="0" collapsed="false">
      <c r="A256" s="1"/>
    </row>
    <row r="257" customFormat="false" ht="15" hidden="false" customHeight="true" outlineLevel="0" collapsed="false">
      <c r="A257" s="1"/>
    </row>
    <row r="258" customFormat="false" ht="15" hidden="false" customHeight="true" outlineLevel="0" collapsed="false">
      <c r="A258" s="1"/>
    </row>
    <row r="259" customFormat="false" ht="15" hidden="false" customHeight="true" outlineLevel="0" collapsed="false">
      <c r="A259" s="1"/>
    </row>
    <row r="260" customFormat="false" ht="15" hidden="false" customHeight="true" outlineLevel="0" collapsed="false">
      <c r="A260" s="1"/>
    </row>
    <row r="261" customFormat="false" ht="15" hidden="false" customHeight="true" outlineLevel="0" collapsed="false">
      <c r="A261" s="1"/>
    </row>
    <row r="262" customFormat="false" ht="15" hidden="false" customHeight="true" outlineLevel="0" collapsed="false">
      <c r="A262" s="1"/>
    </row>
    <row r="263" customFormat="false" ht="15" hidden="false" customHeight="true" outlineLevel="0" collapsed="false">
      <c r="A263" s="1"/>
    </row>
    <row r="264" customFormat="false" ht="15" hidden="false" customHeight="true" outlineLevel="0" collapsed="false">
      <c r="A264" s="1"/>
    </row>
    <row r="265" customFormat="false" ht="15" hidden="false" customHeight="true" outlineLevel="0" collapsed="false">
      <c r="A265" s="1"/>
    </row>
    <row r="266" customFormat="false" ht="15" hidden="false" customHeight="true" outlineLevel="0" collapsed="false">
      <c r="A266" s="1"/>
    </row>
    <row r="267" customFormat="false" ht="15" hidden="false" customHeight="true" outlineLevel="0" collapsed="false">
      <c r="A267" s="1"/>
    </row>
    <row r="268" customFormat="false" ht="15" hidden="false" customHeight="true" outlineLevel="0" collapsed="false">
      <c r="A268" s="1"/>
    </row>
    <row r="269" customFormat="false" ht="15" hidden="false" customHeight="true" outlineLevel="0" collapsed="false">
      <c r="A269" s="1"/>
    </row>
    <row r="270" customFormat="false" ht="15" hidden="false" customHeight="true" outlineLevel="0" collapsed="false">
      <c r="A270" s="1"/>
    </row>
    <row r="271" customFormat="false" ht="15" hidden="false" customHeight="true" outlineLevel="0" collapsed="false">
      <c r="A271" s="1"/>
    </row>
    <row r="272" customFormat="false" ht="15" hidden="false" customHeight="true" outlineLevel="0" collapsed="false">
      <c r="A272" s="1"/>
    </row>
    <row r="273" customFormat="false" ht="15" hidden="false" customHeight="true" outlineLevel="0" collapsed="false">
      <c r="A273" s="1"/>
    </row>
    <row r="274" customFormat="false" ht="15" hidden="false" customHeight="true" outlineLevel="0" collapsed="false">
      <c r="A274" s="1"/>
    </row>
    <row r="275" customFormat="false" ht="15" hidden="false" customHeight="true" outlineLevel="0" collapsed="false">
      <c r="A275" s="1"/>
    </row>
    <row r="276" customFormat="false" ht="15" hidden="false" customHeight="true" outlineLevel="0" collapsed="false">
      <c r="A276" s="1"/>
    </row>
    <row r="277" customFormat="false" ht="15" hidden="false" customHeight="true" outlineLevel="0" collapsed="false">
      <c r="A277" s="1"/>
    </row>
    <row r="278" customFormat="false" ht="15" hidden="false" customHeight="true" outlineLevel="0" collapsed="false">
      <c r="A278" s="1"/>
    </row>
    <row r="279" customFormat="false" ht="15" hidden="false" customHeight="true" outlineLevel="0" collapsed="false">
      <c r="A279" s="1"/>
    </row>
    <row r="280" customFormat="false" ht="15" hidden="false" customHeight="true" outlineLevel="0" collapsed="false">
      <c r="A280" s="1"/>
    </row>
    <row r="281" customFormat="false" ht="15" hidden="false" customHeight="true" outlineLevel="0" collapsed="false">
      <c r="A281" s="1"/>
    </row>
    <row r="282" customFormat="false" ht="15" hidden="false" customHeight="true" outlineLevel="0" collapsed="false">
      <c r="A282" s="1"/>
    </row>
    <row r="283" customFormat="false" ht="15" hidden="false" customHeight="true" outlineLevel="0" collapsed="false">
      <c r="A283" s="1"/>
    </row>
    <row r="284" customFormat="false" ht="15" hidden="false" customHeight="true" outlineLevel="0" collapsed="false">
      <c r="A284" s="1"/>
    </row>
    <row r="285" customFormat="false" ht="15" hidden="false" customHeight="true" outlineLevel="0" collapsed="false">
      <c r="A285" s="1"/>
    </row>
    <row r="286" customFormat="false" ht="15" hidden="false" customHeight="true" outlineLevel="0" collapsed="false">
      <c r="A286" s="1"/>
    </row>
    <row r="287" customFormat="false" ht="15" hidden="false" customHeight="true" outlineLevel="0" collapsed="false">
      <c r="A287" s="1"/>
    </row>
    <row r="288" customFormat="false" ht="15" hidden="false" customHeight="true" outlineLevel="0" collapsed="false">
      <c r="A288" s="1"/>
    </row>
    <row r="289" customFormat="false" ht="15" hidden="false" customHeight="true" outlineLevel="0" collapsed="false">
      <c r="A289" s="1"/>
    </row>
    <row r="290" customFormat="false" ht="15" hidden="false" customHeight="true" outlineLevel="0" collapsed="false">
      <c r="A290" s="1"/>
    </row>
    <row r="291" customFormat="false" ht="15" hidden="false" customHeight="true" outlineLevel="0" collapsed="false">
      <c r="A291" s="1"/>
    </row>
    <row r="292" customFormat="false" ht="15" hidden="false" customHeight="true" outlineLevel="0" collapsed="false">
      <c r="A292" s="1"/>
    </row>
    <row r="293" customFormat="false" ht="15" hidden="false" customHeight="true" outlineLevel="0" collapsed="false">
      <c r="A293" s="1"/>
    </row>
    <row r="294" customFormat="false" ht="15" hidden="false" customHeight="true" outlineLevel="0" collapsed="false">
      <c r="A294" s="1"/>
    </row>
    <row r="295" customFormat="false" ht="15" hidden="false" customHeight="true" outlineLevel="0" collapsed="false">
      <c r="A295" s="1"/>
    </row>
    <row r="296" customFormat="false" ht="15" hidden="false" customHeight="true" outlineLevel="0" collapsed="false">
      <c r="A296" s="1"/>
    </row>
    <row r="297" customFormat="false" ht="15" hidden="false" customHeight="true" outlineLevel="0" collapsed="false">
      <c r="A297" s="1"/>
    </row>
    <row r="298" customFormat="false" ht="15" hidden="false" customHeight="true" outlineLevel="0" collapsed="false">
      <c r="A298" s="1"/>
    </row>
    <row r="299" customFormat="false" ht="15" hidden="false" customHeight="true" outlineLevel="0" collapsed="false">
      <c r="A299" s="1"/>
    </row>
    <row r="300" customFormat="false" ht="15" hidden="false" customHeight="true" outlineLevel="0" collapsed="false">
      <c r="A300" s="1"/>
    </row>
    <row r="301" customFormat="false" ht="15" hidden="false" customHeight="true" outlineLevel="0" collapsed="false">
      <c r="A301" s="1"/>
    </row>
    <row r="302" customFormat="false" ht="15" hidden="false" customHeight="true" outlineLevel="0" collapsed="false">
      <c r="A302" s="1"/>
    </row>
    <row r="303" customFormat="false" ht="15" hidden="false" customHeight="true" outlineLevel="0" collapsed="false">
      <c r="A303" s="1"/>
    </row>
    <row r="304" customFormat="false" ht="15" hidden="false" customHeight="true" outlineLevel="0" collapsed="false">
      <c r="A304" s="1"/>
    </row>
    <row r="305" customFormat="false" ht="15" hidden="false" customHeight="true" outlineLevel="0" collapsed="false">
      <c r="A305" s="1"/>
    </row>
    <row r="306" customFormat="false" ht="15" hidden="false" customHeight="true" outlineLevel="0" collapsed="false">
      <c r="A306" s="1"/>
    </row>
    <row r="307" customFormat="false" ht="15" hidden="false" customHeight="true" outlineLevel="0" collapsed="false">
      <c r="A307" s="1"/>
    </row>
    <row r="308" customFormat="false" ht="15" hidden="false" customHeight="true" outlineLevel="0" collapsed="false">
      <c r="A308" s="1"/>
    </row>
    <row r="309" customFormat="false" ht="15" hidden="false" customHeight="true" outlineLevel="0" collapsed="false">
      <c r="A309" s="1"/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  <row r="313" customFormat="false" ht="15" hidden="false" customHeight="true" outlineLevel="0" collapsed="false">
      <c r="A313" s="1"/>
    </row>
    <row r="314" customFormat="false" ht="15" hidden="false" customHeight="true" outlineLevel="0" collapsed="false">
      <c r="A314" s="1"/>
    </row>
    <row r="315" customFormat="false" ht="15" hidden="false" customHeight="true" outlineLevel="0" collapsed="false">
      <c r="A315" s="1"/>
    </row>
    <row r="316" customFormat="false" ht="15" hidden="false" customHeight="true" outlineLevel="0" collapsed="false">
      <c r="A316" s="1"/>
    </row>
    <row r="317" customFormat="false" ht="15" hidden="false" customHeight="true" outlineLevel="0" collapsed="false">
      <c r="A317" s="1"/>
    </row>
    <row r="318" customFormat="false" ht="15" hidden="false" customHeight="true" outlineLevel="0" collapsed="false">
      <c r="A318" s="1"/>
    </row>
    <row r="319" customFormat="false" ht="15" hidden="false" customHeight="true" outlineLevel="0" collapsed="false">
      <c r="A319" s="1"/>
    </row>
    <row r="320" customFormat="false" ht="15" hidden="false" customHeight="true" outlineLevel="0" collapsed="false">
      <c r="A320" s="1"/>
    </row>
    <row r="321" customFormat="false" ht="15" hidden="false" customHeight="true" outlineLevel="0" collapsed="false">
      <c r="A321" s="1"/>
    </row>
    <row r="322" customFormat="false" ht="15" hidden="false" customHeight="true" outlineLevel="0" collapsed="false">
      <c r="A322" s="1"/>
    </row>
    <row r="323" customFormat="false" ht="15" hidden="false" customHeight="true" outlineLevel="0" collapsed="false">
      <c r="A323" s="1"/>
    </row>
    <row r="324" customFormat="false" ht="15" hidden="false" customHeight="true" outlineLevel="0" collapsed="false">
      <c r="A324" s="1"/>
    </row>
    <row r="325" customFormat="false" ht="15" hidden="false" customHeight="true" outlineLevel="0" collapsed="false">
      <c r="A325" s="1"/>
    </row>
    <row r="326" customFormat="false" ht="15" hidden="false" customHeight="true" outlineLevel="0" collapsed="false">
      <c r="A326" s="1"/>
    </row>
    <row r="327" customFormat="false" ht="15" hidden="false" customHeight="true" outlineLevel="0" collapsed="false">
      <c r="A327" s="1"/>
    </row>
    <row r="328" customFormat="false" ht="15" hidden="false" customHeight="true" outlineLevel="0" collapsed="false">
      <c r="A328" s="1"/>
    </row>
    <row r="329" customFormat="false" ht="15" hidden="false" customHeight="true" outlineLevel="0" collapsed="false">
      <c r="A329" s="1"/>
    </row>
    <row r="330" customFormat="false" ht="15" hidden="false" customHeight="true" outlineLevel="0" collapsed="false">
      <c r="A330" s="1"/>
    </row>
    <row r="331" customFormat="false" ht="15" hidden="false" customHeight="true" outlineLevel="0" collapsed="false">
      <c r="A331" s="1"/>
    </row>
    <row r="332" customFormat="false" ht="15" hidden="false" customHeight="true" outlineLevel="0" collapsed="false">
      <c r="A332" s="1"/>
    </row>
    <row r="333" customFormat="false" ht="15" hidden="false" customHeight="true" outlineLevel="0" collapsed="false">
      <c r="A333" s="1"/>
    </row>
    <row r="334" customFormat="false" ht="15" hidden="false" customHeight="true" outlineLevel="0" collapsed="false">
      <c r="A334" s="1"/>
    </row>
    <row r="335" customFormat="false" ht="15" hidden="false" customHeight="true" outlineLevel="0" collapsed="false">
      <c r="A335" s="1"/>
    </row>
    <row r="336" customFormat="false" ht="15" hidden="false" customHeight="true" outlineLevel="0" collapsed="false">
      <c r="A336" s="1"/>
    </row>
    <row r="337" customFormat="false" ht="15" hidden="false" customHeight="true" outlineLevel="0" collapsed="false">
      <c r="A337" s="1"/>
    </row>
    <row r="338" customFormat="false" ht="15" hidden="false" customHeight="true" outlineLevel="0" collapsed="false">
      <c r="A338" s="1"/>
    </row>
    <row r="339" customFormat="false" ht="15" hidden="false" customHeight="true" outlineLevel="0" collapsed="false">
      <c r="A339" s="1"/>
    </row>
    <row r="340" customFormat="false" ht="15" hidden="false" customHeight="true" outlineLevel="0" collapsed="false">
      <c r="A340" s="1"/>
    </row>
    <row r="341" customFormat="false" ht="15" hidden="false" customHeight="true" outlineLevel="0" collapsed="false">
      <c r="A341" s="1"/>
    </row>
    <row r="342" customFormat="false" ht="15" hidden="false" customHeight="true" outlineLevel="0" collapsed="false">
      <c r="A342" s="1"/>
    </row>
    <row r="343" customFormat="false" ht="15" hidden="false" customHeight="true" outlineLevel="0" collapsed="false">
      <c r="A343" s="1"/>
    </row>
    <row r="344" customFormat="false" ht="15" hidden="false" customHeight="true" outlineLevel="0" collapsed="false">
      <c r="A344" s="1"/>
    </row>
    <row r="345" customFormat="false" ht="15" hidden="false" customHeight="true" outlineLevel="0" collapsed="false">
      <c r="A345" s="1"/>
    </row>
    <row r="346" customFormat="false" ht="15" hidden="false" customHeight="true" outlineLevel="0" collapsed="false">
      <c r="A346" s="1"/>
    </row>
    <row r="347" customFormat="false" ht="15" hidden="false" customHeight="true" outlineLevel="0" collapsed="false">
      <c r="A347" s="1"/>
    </row>
    <row r="348" customFormat="false" ht="15" hidden="false" customHeight="true" outlineLevel="0" collapsed="false">
      <c r="A348" s="1"/>
    </row>
    <row r="349" customFormat="false" ht="15" hidden="false" customHeight="true" outlineLevel="0" collapsed="false">
      <c r="A349" s="1"/>
    </row>
    <row r="350" customFormat="false" ht="15" hidden="false" customHeight="true" outlineLevel="0" collapsed="false">
      <c r="A350" s="1"/>
    </row>
    <row r="351" customFormat="false" ht="15" hidden="false" customHeight="true" outlineLevel="0" collapsed="false">
      <c r="A351" s="1"/>
    </row>
    <row r="352" customFormat="false" ht="15" hidden="false" customHeight="true" outlineLevel="0" collapsed="false">
      <c r="A352" s="1"/>
    </row>
    <row r="353" customFormat="false" ht="15" hidden="false" customHeight="true" outlineLevel="0" collapsed="false">
      <c r="A353" s="1"/>
    </row>
    <row r="354" customFormat="false" ht="15" hidden="false" customHeight="true" outlineLevel="0" collapsed="false">
      <c r="A354" s="1"/>
    </row>
    <row r="355" customFormat="false" ht="15" hidden="false" customHeight="true" outlineLevel="0" collapsed="false">
      <c r="A355" s="1"/>
    </row>
    <row r="356" customFormat="false" ht="15" hidden="false" customHeight="true" outlineLevel="0" collapsed="false">
      <c r="A356" s="1"/>
    </row>
    <row r="357" customFormat="false" ht="15" hidden="false" customHeight="true" outlineLevel="0" collapsed="false">
      <c r="A357" s="1"/>
    </row>
    <row r="358" customFormat="false" ht="15" hidden="false" customHeight="true" outlineLevel="0" collapsed="false">
      <c r="A358" s="1"/>
    </row>
    <row r="359" customFormat="false" ht="15" hidden="false" customHeight="true" outlineLevel="0" collapsed="false">
      <c r="A359" s="1"/>
    </row>
    <row r="360" customFormat="false" ht="15" hidden="false" customHeight="true" outlineLevel="0" collapsed="false">
      <c r="A360" s="1"/>
    </row>
    <row r="361" customFormat="false" ht="15" hidden="false" customHeight="true" outlineLevel="0" collapsed="false">
      <c r="A361" s="1"/>
    </row>
    <row r="362" customFormat="false" ht="15" hidden="false" customHeight="true" outlineLevel="0" collapsed="false">
      <c r="A362" s="1"/>
    </row>
    <row r="363" customFormat="false" ht="15" hidden="false" customHeight="true" outlineLevel="0" collapsed="false">
      <c r="A363" s="1"/>
    </row>
    <row r="364" customFormat="false" ht="15" hidden="false" customHeight="true" outlineLevel="0" collapsed="false">
      <c r="A364" s="1"/>
    </row>
    <row r="365" customFormat="false" ht="15" hidden="false" customHeight="true" outlineLevel="0" collapsed="false">
      <c r="A365" s="1"/>
    </row>
    <row r="366" customFormat="false" ht="15" hidden="false" customHeight="true" outlineLevel="0" collapsed="false">
      <c r="A366" s="1"/>
    </row>
    <row r="367" customFormat="false" ht="15" hidden="false" customHeight="true" outlineLevel="0" collapsed="false">
      <c r="A367" s="1"/>
    </row>
    <row r="368" customFormat="false" ht="15" hidden="false" customHeight="true" outlineLevel="0" collapsed="false">
      <c r="A368" s="1"/>
    </row>
    <row r="369" customFormat="false" ht="15" hidden="false" customHeight="true" outlineLevel="0" collapsed="false">
      <c r="A369" s="1"/>
    </row>
    <row r="370" customFormat="false" ht="15" hidden="false" customHeight="true" outlineLevel="0" collapsed="false">
      <c r="A370" s="1"/>
    </row>
    <row r="371" customFormat="false" ht="15" hidden="false" customHeight="true" outlineLevel="0" collapsed="false">
      <c r="A371" s="1"/>
    </row>
    <row r="372" customFormat="false" ht="15" hidden="false" customHeight="true" outlineLevel="0" collapsed="false">
      <c r="A372" s="1"/>
    </row>
    <row r="373" customFormat="false" ht="15" hidden="false" customHeight="true" outlineLevel="0" collapsed="false">
      <c r="A373" s="1"/>
    </row>
    <row r="374" customFormat="false" ht="15" hidden="false" customHeight="true" outlineLevel="0" collapsed="false">
      <c r="A374" s="1"/>
    </row>
    <row r="375" customFormat="false" ht="15" hidden="false" customHeight="true" outlineLevel="0" collapsed="false">
      <c r="A375" s="1"/>
    </row>
    <row r="376" customFormat="false" ht="15" hidden="false" customHeight="true" outlineLevel="0" collapsed="false">
      <c r="A376" s="1"/>
    </row>
    <row r="377" customFormat="false" ht="15" hidden="false" customHeight="true" outlineLevel="0" collapsed="false">
      <c r="A377" s="1"/>
    </row>
    <row r="378" customFormat="false" ht="15" hidden="false" customHeight="true" outlineLevel="0" collapsed="false">
      <c r="A378" s="1"/>
    </row>
    <row r="379" customFormat="false" ht="15" hidden="false" customHeight="true" outlineLevel="0" collapsed="false">
      <c r="A379" s="1"/>
    </row>
    <row r="380" customFormat="false" ht="15" hidden="false" customHeight="true" outlineLevel="0" collapsed="false">
      <c r="A380" s="1"/>
    </row>
    <row r="381" customFormat="false" ht="15" hidden="false" customHeight="true" outlineLevel="0" collapsed="false">
      <c r="A381" s="1"/>
    </row>
    <row r="382" customFormat="false" ht="15" hidden="false" customHeight="true" outlineLevel="0" collapsed="false">
      <c r="A382" s="1"/>
    </row>
    <row r="383" customFormat="false" ht="15" hidden="false" customHeight="true" outlineLevel="0" collapsed="false">
      <c r="A383" s="1"/>
    </row>
    <row r="384" customFormat="false" ht="15" hidden="false" customHeight="true" outlineLevel="0" collapsed="false">
      <c r="A384" s="1"/>
    </row>
    <row r="385" customFormat="false" ht="15" hidden="false" customHeight="true" outlineLevel="0" collapsed="false">
      <c r="A385" s="1"/>
    </row>
    <row r="386" customFormat="false" ht="15" hidden="false" customHeight="true" outlineLevel="0" collapsed="false">
      <c r="A386" s="1"/>
    </row>
    <row r="387" customFormat="false" ht="15" hidden="false" customHeight="true" outlineLevel="0" collapsed="false">
      <c r="A387" s="1"/>
    </row>
    <row r="388" customFormat="false" ht="15" hidden="false" customHeight="true" outlineLevel="0" collapsed="false">
      <c r="A388" s="1"/>
    </row>
    <row r="389" customFormat="false" ht="15" hidden="false" customHeight="true" outlineLevel="0" collapsed="false">
      <c r="A389" s="1"/>
    </row>
    <row r="390" customFormat="false" ht="15" hidden="false" customHeight="true" outlineLevel="0" collapsed="false">
      <c r="A390" s="1"/>
    </row>
    <row r="391" customFormat="false" ht="15" hidden="false" customHeight="true" outlineLevel="0" collapsed="false">
      <c r="A391" s="1"/>
    </row>
    <row r="392" customFormat="false" ht="15" hidden="false" customHeight="true" outlineLevel="0" collapsed="false">
      <c r="A392" s="1"/>
    </row>
    <row r="393" customFormat="false" ht="15" hidden="false" customHeight="true" outlineLevel="0" collapsed="false">
      <c r="A393" s="1"/>
    </row>
    <row r="394" customFormat="false" ht="15" hidden="false" customHeight="true" outlineLevel="0" collapsed="false">
      <c r="A394" s="1"/>
    </row>
    <row r="395" customFormat="false" ht="15" hidden="false" customHeight="true" outlineLevel="0" collapsed="false">
      <c r="A395" s="1"/>
    </row>
    <row r="396" customFormat="false" ht="15" hidden="false" customHeight="true" outlineLevel="0" collapsed="false">
      <c r="A396" s="1"/>
    </row>
    <row r="397" customFormat="false" ht="15" hidden="false" customHeight="true" outlineLevel="0" collapsed="false">
      <c r="A397" s="1"/>
    </row>
    <row r="398" customFormat="false" ht="15" hidden="false" customHeight="true" outlineLevel="0" collapsed="false">
      <c r="A398" s="1"/>
    </row>
    <row r="399" customFormat="false" ht="15" hidden="false" customHeight="true" outlineLevel="0" collapsed="false">
      <c r="A399" s="1"/>
    </row>
    <row r="400" customFormat="false" ht="15" hidden="false" customHeight="true" outlineLevel="0" collapsed="false">
      <c r="A400" s="1"/>
    </row>
    <row r="401" customFormat="false" ht="15" hidden="false" customHeight="true" outlineLevel="0" collapsed="false">
      <c r="A401" s="1"/>
    </row>
    <row r="402" customFormat="false" ht="15" hidden="false" customHeight="true" outlineLevel="0" collapsed="false">
      <c r="A402" s="1"/>
    </row>
    <row r="403" customFormat="false" ht="15" hidden="false" customHeight="true" outlineLevel="0" collapsed="false">
      <c r="A403" s="1"/>
    </row>
    <row r="404" customFormat="false" ht="15" hidden="false" customHeight="true" outlineLevel="0" collapsed="false">
      <c r="A404" s="1"/>
    </row>
    <row r="405" customFormat="false" ht="15" hidden="false" customHeight="true" outlineLevel="0" collapsed="false">
      <c r="A405" s="1"/>
    </row>
    <row r="406" customFormat="false" ht="15" hidden="false" customHeight="true" outlineLevel="0" collapsed="false">
      <c r="A406" s="1"/>
    </row>
    <row r="407" customFormat="false" ht="15" hidden="false" customHeight="true" outlineLevel="0" collapsed="false">
      <c r="A407" s="1"/>
    </row>
    <row r="408" customFormat="false" ht="15" hidden="false" customHeight="true" outlineLevel="0" collapsed="false">
      <c r="A408" s="1"/>
    </row>
    <row r="409" customFormat="false" ht="15" hidden="false" customHeight="true" outlineLevel="0" collapsed="false">
      <c r="A409" s="1"/>
    </row>
    <row r="410" customFormat="false" ht="15" hidden="false" customHeight="true" outlineLevel="0" collapsed="false">
      <c r="A410" s="1"/>
    </row>
    <row r="411" customFormat="false" ht="15" hidden="false" customHeight="true" outlineLevel="0" collapsed="false">
      <c r="A411" s="1"/>
    </row>
    <row r="412" customFormat="false" ht="15" hidden="false" customHeight="true" outlineLevel="0" collapsed="false">
      <c r="A412" s="1"/>
    </row>
    <row r="413" customFormat="false" ht="15" hidden="false" customHeight="true" outlineLevel="0" collapsed="false">
      <c r="A413" s="1"/>
    </row>
    <row r="414" customFormat="false" ht="15" hidden="false" customHeight="true" outlineLevel="0" collapsed="false">
      <c r="A414" s="1"/>
    </row>
    <row r="415" customFormat="false" ht="15" hidden="false" customHeight="true" outlineLevel="0" collapsed="false">
      <c r="A415" s="1"/>
    </row>
    <row r="416" customFormat="false" ht="15" hidden="false" customHeight="true" outlineLevel="0" collapsed="false">
      <c r="A416" s="1"/>
    </row>
    <row r="417" customFormat="false" ht="15" hidden="false" customHeight="true" outlineLevel="0" collapsed="false">
      <c r="A417" s="1"/>
    </row>
    <row r="418" customFormat="false" ht="15" hidden="false" customHeight="true" outlineLevel="0" collapsed="false">
      <c r="A418" s="1"/>
    </row>
    <row r="419" customFormat="false" ht="15" hidden="false" customHeight="true" outlineLevel="0" collapsed="false">
      <c r="A419" s="1"/>
    </row>
    <row r="420" customFormat="false" ht="15" hidden="false" customHeight="true" outlineLevel="0" collapsed="false">
      <c r="A420" s="1"/>
    </row>
    <row r="421" customFormat="false" ht="15" hidden="false" customHeight="true" outlineLevel="0" collapsed="false">
      <c r="A421" s="1"/>
    </row>
    <row r="422" customFormat="false" ht="15" hidden="false" customHeight="true" outlineLevel="0" collapsed="false">
      <c r="A422" s="1"/>
    </row>
    <row r="423" customFormat="false" ht="15" hidden="false" customHeight="true" outlineLevel="0" collapsed="false">
      <c r="A423" s="1"/>
    </row>
    <row r="424" customFormat="false" ht="15" hidden="false" customHeight="true" outlineLevel="0" collapsed="false">
      <c r="A424" s="1"/>
    </row>
    <row r="425" customFormat="false" ht="15" hidden="false" customHeight="true" outlineLevel="0" collapsed="false">
      <c r="A425" s="1"/>
    </row>
    <row r="426" customFormat="false" ht="15" hidden="false" customHeight="true" outlineLevel="0" collapsed="false">
      <c r="A426" s="1"/>
    </row>
    <row r="427" customFormat="false" ht="15" hidden="false" customHeight="true" outlineLevel="0" collapsed="false">
      <c r="A427" s="1"/>
    </row>
    <row r="428" customFormat="false" ht="15" hidden="false" customHeight="true" outlineLevel="0" collapsed="false">
      <c r="A428" s="1"/>
    </row>
    <row r="429" customFormat="false" ht="15" hidden="false" customHeight="true" outlineLevel="0" collapsed="false">
      <c r="A429" s="1"/>
    </row>
    <row r="430" customFormat="false" ht="15" hidden="false" customHeight="true" outlineLevel="0" collapsed="false">
      <c r="A430" s="1"/>
    </row>
    <row r="431" customFormat="false" ht="15" hidden="false" customHeight="true" outlineLevel="0" collapsed="false">
      <c r="A431" s="1"/>
    </row>
    <row r="432" customFormat="false" ht="15" hidden="false" customHeight="true" outlineLevel="0" collapsed="false">
      <c r="A432" s="1"/>
    </row>
    <row r="433" customFormat="false" ht="15" hidden="false" customHeight="true" outlineLevel="0" collapsed="false">
      <c r="A433" s="1"/>
    </row>
    <row r="434" customFormat="false" ht="15" hidden="false" customHeight="true" outlineLevel="0" collapsed="false">
      <c r="A434" s="1"/>
    </row>
    <row r="435" customFormat="false" ht="15" hidden="false" customHeight="true" outlineLevel="0" collapsed="false">
      <c r="A435" s="1"/>
    </row>
    <row r="436" customFormat="false" ht="15" hidden="false" customHeight="true" outlineLevel="0" collapsed="false">
      <c r="A436" s="1"/>
    </row>
    <row r="437" customFormat="false" ht="15" hidden="false" customHeight="true" outlineLevel="0" collapsed="false">
      <c r="A437" s="1"/>
    </row>
    <row r="438" customFormat="false" ht="15" hidden="false" customHeight="true" outlineLevel="0" collapsed="false">
      <c r="A438" s="1"/>
    </row>
    <row r="439" customFormat="false" ht="15" hidden="false" customHeight="true" outlineLevel="0" collapsed="false">
      <c r="A439" s="1"/>
    </row>
    <row r="440" customFormat="false" ht="15" hidden="false" customHeight="true" outlineLevel="0" collapsed="false">
      <c r="A440" s="1"/>
    </row>
    <row r="441" customFormat="false" ht="15" hidden="false" customHeight="true" outlineLevel="0" collapsed="false">
      <c r="A441" s="1"/>
    </row>
    <row r="442" customFormat="false" ht="15" hidden="false" customHeight="true" outlineLevel="0" collapsed="false">
      <c r="A442" s="1"/>
    </row>
    <row r="443" customFormat="false" ht="15" hidden="false" customHeight="true" outlineLevel="0" collapsed="false">
      <c r="A443" s="1"/>
    </row>
    <row r="444" customFormat="false" ht="15" hidden="false" customHeight="true" outlineLevel="0" collapsed="false">
      <c r="A444" s="1"/>
    </row>
    <row r="445" customFormat="false" ht="15" hidden="false" customHeight="true" outlineLevel="0" collapsed="false">
      <c r="A445" s="1"/>
    </row>
    <row r="446" customFormat="false" ht="15" hidden="false" customHeight="true" outlineLevel="0" collapsed="false">
      <c r="A446" s="1"/>
    </row>
    <row r="447" customFormat="false" ht="15" hidden="false" customHeight="true" outlineLevel="0" collapsed="false">
      <c r="A447" s="1"/>
    </row>
    <row r="448" customFormat="false" ht="15" hidden="false" customHeight="true" outlineLevel="0" collapsed="false">
      <c r="A448" s="1"/>
    </row>
    <row r="449" customFormat="false" ht="15" hidden="false" customHeight="true" outlineLevel="0" collapsed="false">
      <c r="A449" s="1"/>
    </row>
    <row r="450" customFormat="false" ht="15" hidden="false" customHeight="true" outlineLevel="0" collapsed="false">
      <c r="A450" s="1"/>
    </row>
    <row r="451" customFormat="false" ht="15" hidden="false" customHeight="true" outlineLevel="0" collapsed="false">
      <c r="A451" s="1"/>
    </row>
    <row r="452" customFormat="false" ht="15" hidden="false" customHeight="true" outlineLevel="0" collapsed="false">
      <c r="A452" s="1"/>
    </row>
    <row r="453" customFormat="false" ht="15" hidden="false" customHeight="true" outlineLevel="0" collapsed="false">
      <c r="A453" s="1"/>
    </row>
    <row r="454" customFormat="false" ht="15" hidden="false" customHeight="true" outlineLevel="0" collapsed="false">
      <c r="A454" s="1"/>
    </row>
    <row r="455" customFormat="false" ht="15" hidden="false" customHeight="true" outlineLevel="0" collapsed="false">
      <c r="A455" s="1"/>
    </row>
    <row r="456" customFormat="false" ht="15" hidden="false" customHeight="true" outlineLevel="0" collapsed="false">
      <c r="A456" s="1"/>
    </row>
    <row r="457" customFormat="false" ht="15" hidden="false" customHeight="true" outlineLevel="0" collapsed="false">
      <c r="A457" s="1"/>
    </row>
    <row r="458" customFormat="false" ht="15" hidden="false" customHeight="true" outlineLevel="0" collapsed="false">
      <c r="A458" s="1"/>
    </row>
    <row r="459" customFormat="false" ht="15" hidden="false" customHeight="true" outlineLevel="0" collapsed="false">
      <c r="A459" s="1"/>
    </row>
    <row r="460" customFormat="false" ht="15" hidden="false" customHeight="true" outlineLevel="0" collapsed="false">
      <c r="A460" s="1"/>
    </row>
    <row r="461" customFormat="false" ht="15" hidden="false" customHeight="true" outlineLevel="0" collapsed="false">
      <c r="A461" s="1"/>
    </row>
    <row r="462" customFormat="false" ht="15" hidden="false" customHeight="true" outlineLevel="0" collapsed="false">
      <c r="A462" s="1"/>
    </row>
    <row r="463" customFormat="false" ht="15" hidden="false" customHeight="true" outlineLevel="0" collapsed="false">
      <c r="A463" s="1"/>
    </row>
    <row r="464" customFormat="false" ht="15" hidden="false" customHeight="true" outlineLevel="0" collapsed="false">
      <c r="A464" s="1"/>
    </row>
    <row r="465" customFormat="false" ht="15" hidden="false" customHeight="true" outlineLevel="0" collapsed="false">
      <c r="A465" s="1"/>
    </row>
    <row r="466" customFormat="false" ht="15" hidden="false" customHeight="true" outlineLevel="0" collapsed="false">
      <c r="A466" s="1"/>
    </row>
    <row r="467" customFormat="false" ht="15" hidden="false" customHeight="true" outlineLevel="0" collapsed="false">
      <c r="A467" s="1"/>
    </row>
    <row r="468" customFormat="false" ht="15" hidden="false" customHeight="true" outlineLevel="0" collapsed="false">
      <c r="A468" s="1"/>
    </row>
    <row r="469" customFormat="false" ht="15" hidden="false" customHeight="true" outlineLevel="0" collapsed="false">
      <c r="A469" s="1"/>
    </row>
    <row r="470" customFormat="false" ht="15" hidden="false" customHeight="true" outlineLevel="0" collapsed="false">
      <c r="A470" s="1"/>
    </row>
    <row r="471" customFormat="false" ht="15" hidden="false" customHeight="true" outlineLevel="0" collapsed="false">
      <c r="A471" s="1"/>
    </row>
    <row r="472" customFormat="false" ht="15" hidden="false" customHeight="true" outlineLevel="0" collapsed="false">
      <c r="A472" s="1"/>
    </row>
    <row r="473" customFormat="false" ht="15" hidden="false" customHeight="true" outlineLevel="0" collapsed="false">
      <c r="A473" s="1"/>
    </row>
    <row r="474" customFormat="false" ht="15" hidden="false" customHeight="true" outlineLevel="0" collapsed="false">
      <c r="A474" s="1"/>
    </row>
    <row r="475" customFormat="false" ht="15" hidden="false" customHeight="true" outlineLevel="0" collapsed="false">
      <c r="A475" s="1"/>
    </row>
    <row r="476" customFormat="false" ht="15" hidden="false" customHeight="true" outlineLevel="0" collapsed="false">
      <c r="A476" s="1"/>
    </row>
    <row r="477" customFormat="false" ht="15" hidden="false" customHeight="true" outlineLevel="0" collapsed="false">
      <c r="A477" s="1"/>
    </row>
    <row r="478" customFormat="false" ht="15" hidden="false" customHeight="true" outlineLevel="0" collapsed="false">
      <c r="A478" s="1"/>
    </row>
    <row r="479" customFormat="false" ht="15" hidden="false" customHeight="true" outlineLevel="0" collapsed="false">
      <c r="A479" s="1"/>
    </row>
    <row r="480" customFormat="false" ht="15" hidden="false" customHeight="true" outlineLevel="0" collapsed="false">
      <c r="A480" s="1"/>
    </row>
    <row r="481" customFormat="false" ht="15" hidden="false" customHeight="true" outlineLevel="0" collapsed="false">
      <c r="A481" s="1"/>
    </row>
    <row r="482" customFormat="false" ht="15" hidden="false" customHeight="true" outlineLevel="0" collapsed="false">
      <c r="A482" s="1"/>
    </row>
    <row r="483" customFormat="false" ht="15" hidden="false" customHeight="true" outlineLevel="0" collapsed="false">
      <c r="A483" s="1"/>
    </row>
    <row r="484" customFormat="false" ht="15" hidden="false" customHeight="true" outlineLevel="0" collapsed="false">
      <c r="A484" s="1"/>
    </row>
    <row r="485" customFormat="false" ht="15" hidden="false" customHeight="true" outlineLevel="0" collapsed="false">
      <c r="A485" s="1"/>
    </row>
    <row r="486" customFormat="false" ht="15" hidden="false" customHeight="true" outlineLevel="0" collapsed="false">
      <c r="A486" s="1"/>
    </row>
    <row r="487" customFormat="false" ht="15" hidden="false" customHeight="true" outlineLevel="0" collapsed="false">
      <c r="A487" s="1"/>
    </row>
    <row r="488" customFormat="false" ht="15" hidden="false" customHeight="true" outlineLevel="0" collapsed="false">
      <c r="A488" s="1"/>
    </row>
    <row r="489" customFormat="false" ht="15" hidden="false" customHeight="true" outlineLevel="0" collapsed="false">
      <c r="A489" s="1"/>
    </row>
    <row r="490" customFormat="false" ht="15" hidden="false" customHeight="true" outlineLevel="0" collapsed="false">
      <c r="A490" s="1"/>
    </row>
    <row r="491" customFormat="false" ht="15" hidden="false" customHeight="true" outlineLevel="0" collapsed="false">
      <c r="A491" s="1"/>
    </row>
    <row r="492" customFormat="false" ht="15" hidden="false" customHeight="true" outlineLevel="0" collapsed="false">
      <c r="A492" s="1"/>
    </row>
    <row r="493" customFormat="false" ht="15" hidden="false" customHeight="true" outlineLevel="0" collapsed="false">
      <c r="A493" s="1"/>
    </row>
    <row r="494" customFormat="false" ht="15" hidden="false" customHeight="true" outlineLevel="0" collapsed="false">
      <c r="A494" s="1"/>
    </row>
    <row r="495" customFormat="false" ht="15" hidden="false" customHeight="true" outlineLevel="0" collapsed="false">
      <c r="A495" s="1"/>
    </row>
    <row r="496" customFormat="false" ht="15" hidden="false" customHeight="true" outlineLevel="0" collapsed="false">
      <c r="A496" s="1"/>
    </row>
    <row r="497" customFormat="false" ht="15" hidden="false" customHeight="true" outlineLevel="0" collapsed="false">
      <c r="A497" s="1"/>
    </row>
    <row r="498" customFormat="false" ht="15" hidden="false" customHeight="true" outlineLevel="0" collapsed="false">
      <c r="A498" s="1"/>
    </row>
    <row r="499" customFormat="false" ht="15" hidden="false" customHeight="true" outlineLevel="0" collapsed="false">
      <c r="A499" s="1"/>
    </row>
    <row r="500" customFormat="false" ht="15" hidden="false" customHeight="true" outlineLevel="0" collapsed="false">
      <c r="A500" s="1"/>
    </row>
    <row r="501" customFormat="false" ht="15" hidden="false" customHeight="true" outlineLevel="0" collapsed="false">
      <c r="A501" s="1"/>
    </row>
    <row r="502" customFormat="false" ht="15" hidden="false" customHeight="true" outlineLevel="0" collapsed="false">
      <c r="A502" s="1"/>
    </row>
    <row r="503" customFormat="false" ht="15" hidden="false" customHeight="true" outlineLevel="0" collapsed="false">
      <c r="A503" s="1"/>
    </row>
    <row r="504" customFormat="false" ht="15" hidden="false" customHeight="true" outlineLevel="0" collapsed="false">
      <c r="A504" s="1"/>
    </row>
    <row r="505" customFormat="false" ht="15" hidden="false" customHeight="true" outlineLevel="0" collapsed="false">
      <c r="A505" s="1"/>
    </row>
    <row r="506" customFormat="false" ht="15" hidden="false" customHeight="true" outlineLevel="0" collapsed="false">
      <c r="A506" s="1"/>
    </row>
    <row r="507" customFormat="false" ht="15" hidden="false" customHeight="true" outlineLevel="0" collapsed="false">
      <c r="A507" s="1"/>
    </row>
    <row r="508" customFormat="false" ht="15" hidden="false" customHeight="true" outlineLevel="0" collapsed="false">
      <c r="A508" s="1"/>
    </row>
    <row r="509" customFormat="false" ht="15" hidden="false" customHeight="true" outlineLevel="0" collapsed="false">
      <c r="A509" s="1"/>
    </row>
    <row r="510" customFormat="false" ht="15" hidden="false" customHeight="true" outlineLevel="0" collapsed="false">
      <c r="A510" s="1"/>
    </row>
    <row r="511" customFormat="false" ht="15" hidden="false" customHeight="true" outlineLevel="0" collapsed="false">
      <c r="A511" s="1"/>
    </row>
    <row r="512" customFormat="false" ht="15" hidden="false" customHeight="true" outlineLevel="0" collapsed="false">
      <c r="A512" s="1"/>
    </row>
    <row r="513" customFormat="false" ht="15" hidden="false" customHeight="true" outlineLevel="0" collapsed="false">
      <c r="A513" s="1"/>
    </row>
    <row r="514" customFormat="false" ht="15" hidden="false" customHeight="true" outlineLevel="0" collapsed="false">
      <c r="A514" s="1"/>
    </row>
    <row r="515" customFormat="false" ht="15" hidden="false" customHeight="true" outlineLevel="0" collapsed="false">
      <c r="A515" s="1"/>
    </row>
    <row r="516" customFormat="false" ht="15" hidden="false" customHeight="true" outlineLevel="0" collapsed="false">
      <c r="A516" s="1"/>
    </row>
    <row r="517" customFormat="false" ht="15" hidden="false" customHeight="true" outlineLevel="0" collapsed="false">
      <c r="A517" s="1"/>
    </row>
    <row r="518" customFormat="false" ht="15" hidden="false" customHeight="true" outlineLevel="0" collapsed="false">
      <c r="A518" s="1"/>
    </row>
    <row r="519" customFormat="false" ht="15" hidden="false" customHeight="true" outlineLevel="0" collapsed="false">
      <c r="A519" s="1"/>
    </row>
    <row r="520" customFormat="false" ht="15" hidden="false" customHeight="true" outlineLevel="0" collapsed="false">
      <c r="A520" s="1"/>
    </row>
    <row r="521" customFormat="false" ht="15" hidden="false" customHeight="true" outlineLevel="0" collapsed="false">
      <c r="A521" s="1"/>
    </row>
    <row r="522" customFormat="false" ht="15" hidden="false" customHeight="true" outlineLevel="0" collapsed="false">
      <c r="A522" s="1"/>
    </row>
    <row r="523" customFormat="false" ht="15" hidden="false" customHeight="true" outlineLevel="0" collapsed="false">
      <c r="A523" s="1"/>
    </row>
    <row r="524" customFormat="false" ht="15" hidden="false" customHeight="true" outlineLevel="0" collapsed="false">
      <c r="A524" s="1"/>
    </row>
    <row r="525" customFormat="false" ht="15" hidden="false" customHeight="true" outlineLevel="0" collapsed="false">
      <c r="A525" s="1"/>
    </row>
    <row r="526" customFormat="false" ht="15" hidden="false" customHeight="true" outlineLevel="0" collapsed="false">
      <c r="A526" s="1"/>
    </row>
    <row r="527" customFormat="false" ht="15" hidden="false" customHeight="true" outlineLevel="0" collapsed="false">
      <c r="A527" s="1"/>
    </row>
    <row r="528" customFormat="false" ht="15" hidden="false" customHeight="true" outlineLevel="0" collapsed="false">
      <c r="A528" s="1"/>
    </row>
    <row r="529" customFormat="false" ht="15" hidden="false" customHeight="true" outlineLevel="0" collapsed="false">
      <c r="A529" s="1"/>
    </row>
    <row r="530" customFormat="false" ht="15" hidden="false" customHeight="true" outlineLevel="0" collapsed="false">
      <c r="A530" s="1"/>
    </row>
    <row r="531" customFormat="false" ht="15" hidden="false" customHeight="true" outlineLevel="0" collapsed="false">
      <c r="A531" s="1"/>
    </row>
    <row r="532" customFormat="false" ht="15" hidden="false" customHeight="true" outlineLevel="0" collapsed="false">
      <c r="A532" s="1"/>
    </row>
    <row r="533" customFormat="false" ht="15" hidden="false" customHeight="true" outlineLevel="0" collapsed="false">
      <c r="A533" s="1"/>
    </row>
    <row r="534" customFormat="false" ht="15" hidden="false" customHeight="true" outlineLevel="0" collapsed="false">
      <c r="A534" s="1"/>
    </row>
    <row r="535" customFormat="false" ht="15" hidden="false" customHeight="true" outlineLevel="0" collapsed="false">
      <c r="A535" s="1"/>
    </row>
    <row r="536" customFormat="false" ht="15" hidden="false" customHeight="true" outlineLevel="0" collapsed="false">
      <c r="A536" s="1"/>
    </row>
    <row r="537" customFormat="false" ht="15" hidden="false" customHeight="true" outlineLevel="0" collapsed="false">
      <c r="A537" s="1"/>
    </row>
    <row r="538" customFormat="false" ht="15" hidden="false" customHeight="true" outlineLevel="0" collapsed="false">
      <c r="A538" s="1"/>
    </row>
    <row r="539" customFormat="false" ht="15" hidden="false" customHeight="true" outlineLevel="0" collapsed="false">
      <c r="A539" s="1"/>
    </row>
    <row r="540" customFormat="false" ht="15" hidden="false" customHeight="true" outlineLevel="0" collapsed="false">
      <c r="A540" s="1"/>
    </row>
    <row r="541" customFormat="false" ht="15" hidden="false" customHeight="true" outlineLevel="0" collapsed="false">
      <c r="A541" s="1"/>
    </row>
    <row r="542" customFormat="false" ht="15" hidden="false" customHeight="true" outlineLevel="0" collapsed="false">
      <c r="A542" s="1"/>
    </row>
    <row r="543" customFormat="false" ht="15" hidden="false" customHeight="true" outlineLevel="0" collapsed="false">
      <c r="A543" s="1"/>
    </row>
    <row r="544" customFormat="false" ht="15" hidden="false" customHeight="true" outlineLevel="0" collapsed="false">
      <c r="A544" s="1"/>
    </row>
    <row r="545" customFormat="false" ht="15" hidden="false" customHeight="true" outlineLevel="0" collapsed="false">
      <c r="A545" s="1"/>
    </row>
    <row r="546" customFormat="false" ht="15" hidden="false" customHeight="true" outlineLevel="0" collapsed="false">
      <c r="A546" s="1"/>
    </row>
    <row r="547" customFormat="false" ht="15" hidden="false" customHeight="true" outlineLevel="0" collapsed="false">
      <c r="A547" s="1"/>
    </row>
    <row r="548" customFormat="false" ht="15" hidden="false" customHeight="true" outlineLevel="0" collapsed="false">
      <c r="A548" s="1"/>
    </row>
    <row r="549" customFormat="false" ht="15" hidden="false" customHeight="true" outlineLevel="0" collapsed="false">
      <c r="A549" s="1"/>
    </row>
    <row r="550" customFormat="false" ht="15" hidden="false" customHeight="true" outlineLevel="0" collapsed="false">
      <c r="A550" s="1"/>
    </row>
    <row r="551" customFormat="false" ht="15" hidden="false" customHeight="true" outlineLevel="0" collapsed="false">
      <c r="A551" s="1"/>
    </row>
    <row r="552" customFormat="false" ht="15" hidden="false" customHeight="true" outlineLevel="0" collapsed="false">
      <c r="A552" s="1"/>
    </row>
    <row r="553" customFormat="false" ht="15" hidden="false" customHeight="true" outlineLevel="0" collapsed="false">
      <c r="A553" s="1"/>
    </row>
    <row r="554" customFormat="false" ht="15" hidden="false" customHeight="true" outlineLevel="0" collapsed="false">
      <c r="A554" s="1"/>
    </row>
    <row r="555" customFormat="false" ht="15" hidden="false" customHeight="true" outlineLevel="0" collapsed="false">
      <c r="A555" s="1"/>
    </row>
    <row r="556" customFormat="false" ht="15" hidden="false" customHeight="true" outlineLevel="0" collapsed="false">
      <c r="A556" s="1"/>
    </row>
    <row r="557" customFormat="false" ht="15" hidden="false" customHeight="true" outlineLevel="0" collapsed="false">
      <c r="A557" s="1"/>
    </row>
    <row r="558" customFormat="false" ht="15" hidden="false" customHeight="true" outlineLevel="0" collapsed="false">
      <c r="A558" s="1"/>
    </row>
    <row r="559" customFormat="false" ht="15" hidden="false" customHeight="true" outlineLevel="0" collapsed="false">
      <c r="A559" s="1"/>
    </row>
    <row r="560" customFormat="false" ht="15" hidden="false" customHeight="true" outlineLevel="0" collapsed="false">
      <c r="A560" s="1"/>
    </row>
    <row r="561" customFormat="false" ht="15" hidden="false" customHeight="true" outlineLevel="0" collapsed="false">
      <c r="A561" s="1"/>
    </row>
    <row r="562" customFormat="false" ht="15" hidden="false" customHeight="true" outlineLevel="0" collapsed="false">
      <c r="A562" s="1"/>
    </row>
    <row r="563" customFormat="false" ht="15" hidden="false" customHeight="true" outlineLevel="0" collapsed="false">
      <c r="A563" s="1"/>
    </row>
    <row r="564" customFormat="false" ht="15" hidden="false" customHeight="true" outlineLevel="0" collapsed="false">
      <c r="A564" s="1"/>
    </row>
    <row r="565" customFormat="false" ht="15" hidden="false" customHeight="true" outlineLevel="0" collapsed="false">
      <c r="A565" s="1"/>
    </row>
    <row r="566" customFormat="false" ht="15" hidden="false" customHeight="true" outlineLevel="0" collapsed="false">
      <c r="A566" s="1"/>
    </row>
    <row r="567" customFormat="false" ht="15" hidden="false" customHeight="true" outlineLevel="0" collapsed="false">
      <c r="A567" s="1"/>
    </row>
    <row r="568" customFormat="false" ht="15" hidden="false" customHeight="true" outlineLevel="0" collapsed="false">
      <c r="A568" s="1"/>
    </row>
    <row r="569" customFormat="false" ht="15" hidden="false" customHeight="true" outlineLevel="0" collapsed="false">
      <c r="A569" s="1"/>
    </row>
    <row r="570" customFormat="false" ht="15" hidden="false" customHeight="true" outlineLevel="0" collapsed="false">
      <c r="A570" s="1"/>
    </row>
    <row r="571" customFormat="false" ht="15" hidden="false" customHeight="true" outlineLevel="0" collapsed="false">
      <c r="A571" s="1"/>
    </row>
    <row r="572" customFormat="false" ht="15" hidden="false" customHeight="true" outlineLevel="0" collapsed="false">
      <c r="A572" s="1"/>
    </row>
    <row r="573" customFormat="false" ht="15" hidden="false" customHeight="true" outlineLevel="0" collapsed="false">
      <c r="A573" s="1"/>
    </row>
    <row r="574" customFormat="false" ht="15" hidden="false" customHeight="true" outlineLevel="0" collapsed="false">
      <c r="A574" s="1"/>
    </row>
    <row r="575" customFormat="false" ht="15" hidden="false" customHeight="true" outlineLevel="0" collapsed="false">
      <c r="A575" s="1"/>
    </row>
    <row r="576" customFormat="false" ht="15" hidden="false" customHeight="true" outlineLevel="0" collapsed="false">
      <c r="A576" s="1"/>
    </row>
    <row r="577" customFormat="false" ht="15" hidden="false" customHeight="true" outlineLevel="0" collapsed="false">
      <c r="A577" s="1"/>
    </row>
    <row r="578" customFormat="false" ht="15" hidden="false" customHeight="true" outlineLevel="0" collapsed="false">
      <c r="A578" s="1"/>
    </row>
    <row r="579" customFormat="false" ht="15" hidden="false" customHeight="true" outlineLevel="0" collapsed="false">
      <c r="A579" s="1"/>
    </row>
    <row r="580" customFormat="false" ht="15" hidden="false" customHeight="true" outlineLevel="0" collapsed="false">
      <c r="A580" s="1"/>
    </row>
    <row r="581" customFormat="false" ht="15" hidden="false" customHeight="true" outlineLevel="0" collapsed="false">
      <c r="A581" s="1"/>
    </row>
    <row r="582" customFormat="false" ht="15" hidden="false" customHeight="true" outlineLevel="0" collapsed="false">
      <c r="A582" s="1"/>
    </row>
    <row r="583" customFormat="false" ht="15" hidden="false" customHeight="true" outlineLevel="0" collapsed="false">
      <c r="A583" s="1"/>
    </row>
    <row r="584" customFormat="false" ht="15" hidden="false" customHeight="true" outlineLevel="0" collapsed="false">
      <c r="A584" s="1"/>
    </row>
    <row r="585" customFormat="false" ht="15" hidden="false" customHeight="true" outlineLevel="0" collapsed="false">
      <c r="A585" s="1"/>
    </row>
    <row r="586" customFormat="false" ht="15" hidden="false" customHeight="true" outlineLevel="0" collapsed="false">
      <c r="A586" s="1"/>
    </row>
    <row r="587" customFormat="false" ht="15" hidden="false" customHeight="true" outlineLevel="0" collapsed="false">
      <c r="A587" s="1"/>
    </row>
    <row r="588" customFormat="false" ht="15" hidden="false" customHeight="true" outlineLevel="0" collapsed="false">
      <c r="A588" s="1"/>
    </row>
    <row r="589" customFormat="false" ht="15" hidden="false" customHeight="true" outlineLevel="0" collapsed="false">
      <c r="A589" s="1"/>
    </row>
    <row r="590" customFormat="false" ht="15" hidden="false" customHeight="true" outlineLevel="0" collapsed="false">
      <c r="A590" s="1"/>
    </row>
    <row r="591" customFormat="false" ht="15" hidden="false" customHeight="true" outlineLevel="0" collapsed="false">
      <c r="A591" s="1"/>
    </row>
    <row r="592" customFormat="false" ht="15" hidden="false" customHeight="true" outlineLevel="0" collapsed="false">
      <c r="A592" s="1"/>
    </row>
    <row r="593" customFormat="false" ht="15" hidden="false" customHeight="true" outlineLevel="0" collapsed="false">
      <c r="A593" s="1"/>
    </row>
    <row r="594" customFormat="false" ht="15" hidden="false" customHeight="true" outlineLevel="0" collapsed="false">
      <c r="A594" s="1"/>
    </row>
    <row r="595" customFormat="false" ht="15" hidden="false" customHeight="true" outlineLevel="0" collapsed="false">
      <c r="A595" s="1"/>
    </row>
    <row r="596" customFormat="false" ht="15" hidden="false" customHeight="true" outlineLevel="0" collapsed="false">
      <c r="A596" s="1"/>
    </row>
    <row r="597" customFormat="false" ht="15" hidden="false" customHeight="true" outlineLevel="0" collapsed="false">
      <c r="A597" s="1"/>
    </row>
    <row r="598" customFormat="false" ht="15" hidden="false" customHeight="true" outlineLevel="0" collapsed="false">
      <c r="A598" s="1"/>
    </row>
    <row r="599" customFormat="false" ht="15" hidden="false" customHeight="true" outlineLevel="0" collapsed="false">
      <c r="A599" s="1"/>
    </row>
    <row r="600" customFormat="false" ht="15" hidden="false" customHeight="true" outlineLevel="0" collapsed="false">
      <c r="A600" s="1"/>
    </row>
    <row r="601" customFormat="false" ht="15" hidden="false" customHeight="true" outlineLevel="0" collapsed="false">
      <c r="A601" s="1"/>
    </row>
    <row r="602" customFormat="false" ht="15" hidden="false" customHeight="true" outlineLevel="0" collapsed="false">
      <c r="A602" s="1"/>
    </row>
    <row r="603" customFormat="false" ht="15" hidden="false" customHeight="true" outlineLevel="0" collapsed="false">
      <c r="A603" s="1"/>
    </row>
    <row r="604" customFormat="false" ht="15" hidden="false" customHeight="true" outlineLevel="0" collapsed="false">
      <c r="A604" s="1"/>
    </row>
    <row r="605" customFormat="false" ht="15" hidden="false" customHeight="true" outlineLevel="0" collapsed="false">
      <c r="A605" s="1"/>
    </row>
    <row r="606" customFormat="false" ht="15" hidden="false" customHeight="true" outlineLevel="0" collapsed="false">
      <c r="A606" s="1"/>
    </row>
    <row r="607" customFormat="false" ht="15" hidden="false" customHeight="true" outlineLevel="0" collapsed="false">
      <c r="A607" s="1"/>
    </row>
    <row r="608" customFormat="false" ht="15" hidden="false" customHeight="true" outlineLevel="0" collapsed="false">
      <c r="A608" s="1"/>
    </row>
    <row r="609" customFormat="false" ht="15" hidden="false" customHeight="true" outlineLevel="0" collapsed="false">
      <c r="A609" s="1"/>
    </row>
    <row r="610" customFormat="false" ht="15" hidden="false" customHeight="true" outlineLevel="0" collapsed="false">
      <c r="A610" s="1"/>
    </row>
    <row r="611" customFormat="false" ht="15" hidden="false" customHeight="true" outlineLevel="0" collapsed="false">
      <c r="A611" s="1"/>
    </row>
    <row r="612" customFormat="false" ht="15" hidden="false" customHeight="true" outlineLevel="0" collapsed="false">
      <c r="A612" s="1"/>
    </row>
    <row r="613" customFormat="false" ht="15" hidden="false" customHeight="true" outlineLevel="0" collapsed="false">
      <c r="A613" s="1"/>
    </row>
    <row r="614" customFormat="false" ht="15" hidden="false" customHeight="true" outlineLevel="0" collapsed="false">
      <c r="A614" s="1"/>
    </row>
    <row r="615" customFormat="false" ht="15" hidden="false" customHeight="true" outlineLevel="0" collapsed="false">
      <c r="A615" s="1"/>
    </row>
    <row r="616" customFormat="false" ht="15" hidden="false" customHeight="true" outlineLevel="0" collapsed="false">
      <c r="A616" s="1"/>
    </row>
    <row r="617" customFormat="false" ht="15" hidden="false" customHeight="true" outlineLevel="0" collapsed="false">
      <c r="A617" s="1"/>
    </row>
    <row r="618" customFormat="false" ht="15" hidden="false" customHeight="true" outlineLevel="0" collapsed="false">
      <c r="A618" s="1"/>
    </row>
    <row r="619" customFormat="false" ht="15" hidden="false" customHeight="true" outlineLevel="0" collapsed="false">
      <c r="A619" s="1"/>
    </row>
    <row r="620" customFormat="false" ht="15" hidden="false" customHeight="true" outlineLevel="0" collapsed="false">
      <c r="A620" s="1"/>
    </row>
    <row r="621" customFormat="false" ht="15" hidden="false" customHeight="true" outlineLevel="0" collapsed="false">
      <c r="A621" s="1"/>
    </row>
    <row r="622" customFormat="false" ht="15" hidden="false" customHeight="true" outlineLevel="0" collapsed="false">
      <c r="A622" s="1"/>
    </row>
    <row r="623" customFormat="false" ht="15" hidden="false" customHeight="true" outlineLevel="0" collapsed="false">
      <c r="A623" s="1"/>
    </row>
    <row r="624" customFormat="false" ht="15" hidden="false" customHeight="true" outlineLevel="0" collapsed="false">
      <c r="A624" s="1"/>
    </row>
    <row r="625" customFormat="false" ht="15" hidden="false" customHeight="true" outlineLevel="0" collapsed="false">
      <c r="A625" s="1"/>
    </row>
    <row r="626" customFormat="false" ht="15" hidden="false" customHeight="true" outlineLevel="0" collapsed="false">
      <c r="A626" s="1"/>
    </row>
    <row r="627" customFormat="false" ht="15" hidden="false" customHeight="true" outlineLevel="0" collapsed="false">
      <c r="A627" s="1"/>
    </row>
    <row r="628" customFormat="false" ht="15" hidden="false" customHeight="true" outlineLevel="0" collapsed="false">
      <c r="A628" s="1"/>
    </row>
    <row r="629" customFormat="false" ht="15" hidden="false" customHeight="true" outlineLevel="0" collapsed="false">
      <c r="A629" s="1"/>
    </row>
    <row r="630" customFormat="false" ht="15" hidden="false" customHeight="true" outlineLevel="0" collapsed="false">
      <c r="A630" s="1"/>
    </row>
    <row r="631" customFormat="false" ht="15" hidden="false" customHeight="true" outlineLevel="0" collapsed="false">
      <c r="A631" s="1"/>
    </row>
    <row r="632" customFormat="false" ht="15" hidden="false" customHeight="true" outlineLevel="0" collapsed="false">
      <c r="A632" s="1"/>
    </row>
    <row r="633" customFormat="false" ht="15" hidden="false" customHeight="true" outlineLevel="0" collapsed="false">
      <c r="A633" s="1"/>
    </row>
    <row r="634" customFormat="false" ht="15" hidden="false" customHeight="true" outlineLevel="0" collapsed="false">
      <c r="A634" s="1"/>
    </row>
    <row r="635" customFormat="false" ht="15" hidden="false" customHeight="true" outlineLevel="0" collapsed="false">
      <c r="A635" s="1"/>
    </row>
    <row r="636" customFormat="false" ht="15" hidden="false" customHeight="true" outlineLevel="0" collapsed="false">
      <c r="A636" s="1"/>
    </row>
    <row r="637" customFormat="false" ht="15" hidden="false" customHeight="true" outlineLevel="0" collapsed="false">
      <c r="A637" s="1"/>
    </row>
    <row r="638" customFormat="false" ht="15" hidden="false" customHeight="true" outlineLevel="0" collapsed="false">
      <c r="A638" s="1"/>
    </row>
    <row r="639" customFormat="false" ht="15" hidden="false" customHeight="true" outlineLevel="0" collapsed="false">
      <c r="A639" s="1"/>
    </row>
    <row r="640" customFormat="false" ht="15" hidden="false" customHeight="true" outlineLevel="0" collapsed="false">
      <c r="A640" s="1"/>
    </row>
    <row r="641" customFormat="false" ht="15" hidden="false" customHeight="true" outlineLevel="0" collapsed="false">
      <c r="A641" s="1"/>
    </row>
    <row r="642" customFormat="false" ht="15" hidden="false" customHeight="true" outlineLevel="0" collapsed="false">
      <c r="A642" s="1"/>
    </row>
    <row r="643" customFormat="false" ht="15" hidden="false" customHeight="true" outlineLevel="0" collapsed="false">
      <c r="A643" s="1"/>
    </row>
    <row r="644" customFormat="false" ht="15" hidden="false" customHeight="true" outlineLevel="0" collapsed="false">
      <c r="A644" s="1"/>
    </row>
    <row r="645" customFormat="false" ht="15" hidden="false" customHeight="true" outlineLevel="0" collapsed="false">
      <c r="A645" s="1"/>
    </row>
    <row r="646" customFormat="false" ht="15" hidden="false" customHeight="true" outlineLevel="0" collapsed="false">
      <c r="A646" s="1"/>
    </row>
    <row r="647" customFormat="false" ht="15" hidden="false" customHeight="true" outlineLevel="0" collapsed="false">
      <c r="A647" s="1"/>
    </row>
    <row r="648" customFormat="false" ht="15" hidden="false" customHeight="true" outlineLevel="0" collapsed="false">
      <c r="A648" s="1"/>
    </row>
    <row r="649" customFormat="false" ht="15" hidden="false" customHeight="true" outlineLevel="0" collapsed="false">
      <c r="A649" s="1"/>
    </row>
    <row r="650" customFormat="false" ht="15" hidden="false" customHeight="true" outlineLevel="0" collapsed="false">
      <c r="A650" s="1"/>
    </row>
    <row r="651" customFormat="false" ht="15" hidden="false" customHeight="true" outlineLevel="0" collapsed="false">
      <c r="A651" s="1"/>
    </row>
    <row r="652" customFormat="false" ht="15" hidden="false" customHeight="true" outlineLevel="0" collapsed="false">
      <c r="A652" s="1"/>
    </row>
    <row r="653" customFormat="false" ht="15" hidden="false" customHeight="true" outlineLevel="0" collapsed="false">
      <c r="A653" s="1"/>
    </row>
    <row r="654" customFormat="false" ht="15" hidden="false" customHeight="true" outlineLevel="0" collapsed="false">
      <c r="A654" s="1"/>
    </row>
    <row r="655" customFormat="false" ht="15" hidden="false" customHeight="true" outlineLevel="0" collapsed="false">
      <c r="A655" s="1"/>
    </row>
    <row r="656" customFormat="false" ht="15" hidden="false" customHeight="true" outlineLevel="0" collapsed="false">
      <c r="A656" s="1"/>
    </row>
    <row r="657" customFormat="false" ht="15" hidden="false" customHeight="true" outlineLevel="0" collapsed="false">
      <c r="A657" s="1"/>
    </row>
    <row r="658" customFormat="false" ht="15" hidden="false" customHeight="true" outlineLevel="0" collapsed="false">
      <c r="A658" s="1"/>
    </row>
    <row r="659" customFormat="false" ht="15" hidden="false" customHeight="true" outlineLevel="0" collapsed="false">
      <c r="A659" s="1"/>
    </row>
    <row r="660" customFormat="false" ht="15" hidden="false" customHeight="true" outlineLevel="0" collapsed="false">
      <c r="A660" s="1"/>
    </row>
    <row r="661" customFormat="false" ht="15" hidden="false" customHeight="true" outlineLevel="0" collapsed="false">
      <c r="A661" s="1"/>
    </row>
    <row r="662" customFormat="false" ht="15" hidden="false" customHeight="true" outlineLevel="0" collapsed="false">
      <c r="A662" s="1"/>
    </row>
    <row r="663" customFormat="false" ht="15" hidden="false" customHeight="true" outlineLevel="0" collapsed="false">
      <c r="A663" s="1"/>
    </row>
    <row r="664" customFormat="false" ht="15" hidden="false" customHeight="true" outlineLevel="0" collapsed="false">
      <c r="A664" s="1"/>
    </row>
    <row r="665" customFormat="false" ht="15" hidden="false" customHeight="true" outlineLevel="0" collapsed="false">
      <c r="A665" s="1"/>
    </row>
    <row r="666" customFormat="false" ht="15" hidden="false" customHeight="true" outlineLevel="0" collapsed="false">
      <c r="A666" s="1"/>
    </row>
    <row r="667" customFormat="false" ht="15" hidden="false" customHeight="true" outlineLevel="0" collapsed="false">
      <c r="A667" s="1"/>
    </row>
    <row r="668" customFormat="false" ht="15" hidden="false" customHeight="true" outlineLevel="0" collapsed="false">
      <c r="A668" s="1"/>
    </row>
    <row r="669" customFormat="false" ht="15" hidden="false" customHeight="true" outlineLevel="0" collapsed="false">
      <c r="A669" s="1"/>
    </row>
    <row r="670" customFormat="false" ht="15" hidden="false" customHeight="true" outlineLevel="0" collapsed="false">
      <c r="A670" s="1"/>
    </row>
    <row r="671" customFormat="false" ht="15" hidden="false" customHeight="true" outlineLevel="0" collapsed="false">
      <c r="A671" s="1"/>
    </row>
    <row r="672" customFormat="false" ht="15" hidden="false" customHeight="true" outlineLevel="0" collapsed="false">
      <c r="A672" s="1"/>
    </row>
    <row r="673" customFormat="false" ht="15" hidden="false" customHeight="true" outlineLevel="0" collapsed="false">
      <c r="A673" s="1"/>
    </row>
    <row r="674" customFormat="false" ht="15" hidden="false" customHeight="true" outlineLevel="0" collapsed="false">
      <c r="A674" s="1"/>
    </row>
    <row r="675" customFormat="false" ht="15" hidden="false" customHeight="true" outlineLevel="0" collapsed="false">
      <c r="A675" s="1"/>
    </row>
    <row r="676" customFormat="false" ht="15" hidden="false" customHeight="true" outlineLevel="0" collapsed="false">
      <c r="A676" s="1"/>
    </row>
    <row r="677" customFormat="false" ht="15" hidden="false" customHeight="true" outlineLevel="0" collapsed="false">
      <c r="A677" s="1"/>
    </row>
    <row r="678" customFormat="false" ht="15" hidden="false" customHeight="true" outlineLevel="0" collapsed="false">
      <c r="A678" s="1"/>
    </row>
    <row r="679" customFormat="false" ht="15" hidden="false" customHeight="true" outlineLevel="0" collapsed="false">
      <c r="A679" s="1"/>
    </row>
    <row r="680" customFormat="false" ht="15" hidden="false" customHeight="true" outlineLevel="0" collapsed="false">
      <c r="A680" s="1"/>
    </row>
    <row r="681" customFormat="false" ht="15" hidden="false" customHeight="true" outlineLevel="0" collapsed="false">
      <c r="A681" s="1"/>
    </row>
    <row r="682" customFormat="false" ht="15" hidden="false" customHeight="true" outlineLevel="0" collapsed="false">
      <c r="A682" s="1"/>
    </row>
    <row r="683" customFormat="false" ht="15" hidden="false" customHeight="true" outlineLevel="0" collapsed="false">
      <c r="A683" s="1"/>
    </row>
    <row r="684" customFormat="false" ht="15" hidden="false" customHeight="true" outlineLevel="0" collapsed="false">
      <c r="A684" s="1"/>
    </row>
    <row r="685" customFormat="false" ht="15" hidden="false" customHeight="true" outlineLevel="0" collapsed="false">
      <c r="A685" s="1"/>
    </row>
    <row r="686" customFormat="false" ht="15" hidden="false" customHeight="true" outlineLevel="0" collapsed="false">
      <c r="A686" s="1"/>
    </row>
    <row r="687" customFormat="false" ht="15" hidden="false" customHeight="true" outlineLevel="0" collapsed="false">
      <c r="A687" s="1"/>
    </row>
    <row r="688" customFormat="false" ht="15" hidden="false" customHeight="true" outlineLevel="0" collapsed="false">
      <c r="A688" s="1"/>
    </row>
    <row r="689" customFormat="false" ht="15" hidden="false" customHeight="true" outlineLevel="0" collapsed="false">
      <c r="A689" s="1"/>
    </row>
    <row r="690" customFormat="false" ht="15" hidden="false" customHeight="true" outlineLevel="0" collapsed="false">
      <c r="A690" s="1"/>
    </row>
    <row r="691" customFormat="false" ht="15" hidden="false" customHeight="true" outlineLevel="0" collapsed="false">
      <c r="A691" s="1"/>
    </row>
    <row r="692" customFormat="false" ht="15" hidden="false" customHeight="true" outlineLevel="0" collapsed="false">
      <c r="A692" s="1"/>
    </row>
    <row r="693" customFormat="false" ht="15" hidden="false" customHeight="true" outlineLevel="0" collapsed="false">
      <c r="A693" s="1"/>
    </row>
    <row r="694" customFormat="false" ht="15" hidden="false" customHeight="true" outlineLevel="0" collapsed="false">
      <c r="A694" s="1"/>
    </row>
    <row r="695" customFormat="false" ht="15" hidden="false" customHeight="true" outlineLevel="0" collapsed="false">
      <c r="A695" s="1"/>
    </row>
    <row r="696" customFormat="false" ht="15" hidden="false" customHeight="true" outlineLevel="0" collapsed="false">
      <c r="A696" s="1"/>
    </row>
    <row r="697" customFormat="false" ht="15" hidden="false" customHeight="true" outlineLevel="0" collapsed="false">
      <c r="A697" s="1"/>
    </row>
    <row r="698" customFormat="false" ht="15" hidden="false" customHeight="true" outlineLevel="0" collapsed="false">
      <c r="A698" s="1"/>
    </row>
    <row r="699" customFormat="false" ht="15" hidden="false" customHeight="true" outlineLevel="0" collapsed="false">
      <c r="A699" s="1"/>
    </row>
    <row r="700" customFormat="false" ht="15" hidden="false" customHeight="true" outlineLevel="0" collapsed="false">
      <c r="A700" s="1"/>
    </row>
    <row r="701" customFormat="false" ht="15" hidden="false" customHeight="true" outlineLevel="0" collapsed="false">
      <c r="A701" s="1"/>
    </row>
    <row r="702" customFormat="false" ht="15" hidden="false" customHeight="true" outlineLevel="0" collapsed="false">
      <c r="A702" s="1"/>
    </row>
    <row r="703" customFormat="false" ht="15" hidden="false" customHeight="true" outlineLevel="0" collapsed="false">
      <c r="A703" s="1"/>
    </row>
    <row r="704" customFormat="false" ht="15" hidden="false" customHeight="true" outlineLevel="0" collapsed="false">
      <c r="A704" s="1"/>
    </row>
    <row r="705" customFormat="false" ht="15" hidden="false" customHeight="true" outlineLevel="0" collapsed="false">
      <c r="A705" s="1"/>
    </row>
    <row r="706" customFormat="false" ht="15" hidden="false" customHeight="true" outlineLevel="0" collapsed="false">
      <c r="A706" s="1"/>
    </row>
    <row r="707" customFormat="false" ht="15" hidden="false" customHeight="true" outlineLevel="0" collapsed="false">
      <c r="A707" s="1"/>
    </row>
    <row r="708" customFormat="false" ht="15" hidden="false" customHeight="true" outlineLevel="0" collapsed="false">
      <c r="A708" s="1"/>
    </row>
    <row r="709" customFormat="false" ht="15" hidden="false" customHeight="true" outlineLevel="0" collapsed="false">
      <c r="A709" s="1"/>
    </row>
    <row r="710" customFormat="false" ht="15" hidden="false" customHeight="true" outlineLevel="0" collapsed="false">
      <c r="A710" s="1"/>
    </row>
    <row r="711" customFormat="false" ht="15" hidden="false" customHeight="true" outlineLevel="0" collapsed="false">
      <c r="A711" s="1"/>
    </row>
    <row r="712" customFormat="false" ht="15" hidden="false" customHeight="true" outlineLevel="0" collapsed="false">
      <c r="A712" s="1"/>
    </row>
    <row r="713" customFormat="false" ht="15" hidden="false" customHeight="true" outlineLevel="0" collapsed="false">
      <c r="A713" s="1"/>
    </row>
    <row r="714" customFormat="false" ht="15" hidden="false" customHeight="true" outlineLevel="0" collapsed="false">
      <c r="A714" s="1"/>
    </row>
    <row r="715" customFormat="false" ht="15" hidden="false" customHeight="true" outlineLevel="0" collapsed="false">
      <c r="A715" s="1"/>
    </row>
    <row r="716" customFormat="false" ht="15" hidden="false" customHeight="true" outlineLevel="0" collapsed="false">
      <c r="A716" s="1"/>
    </row>
    <row r="717" customFormat="false" ht="15" hidden="false" customHeight="true" outlineLevel="0" collapsed="false">
      <c r="A717" s="1"/>
    </row>
    <row r="718" customFormat="false" ht="15" hidden="false" customHeight="true" outlineLevel="0" collapsed="false">
      <c r="A718" s="1"/>
    </row>
    <row r="719" customFormat="false" ht="15" hidden="false" customHeight="true" outlineLevel="0" collapsed="false">
      <c r="A719" s="1"/>
    </row>
    <row r="720" customFormat="false" ht="15" hidden="false" customHeight="true" outlineLevel="0" collapsed="false">
      <c r="A720" s="1"/>
    </row>
    <row r="721" customFormat="false" ht="15" hidden="false" customHeight="true" outlineLevel="0" collapsed="false">
      <c r="A721" s="1"/>
    </row>
    <row r="722" customFormat="false" ht="15" hidden="false" customHeight="true" outlineLevel="0" collapsed="false">
      <c r="A722" s="1"/>
    </row>
    <row r="723" customFormat="false" ht="15" hidden="false" customHeight="true" outlineLevel="0" collapsed="false">
      <c r="A723" s="1"/>
    </row>
    <row r="724" customFormat="false" ht="15" hidden="false" customHeight="true" outlineLevel="0" collapsed="false">
      <c r="A724" s="1"/>
    </row>
    <row r="725" customFormat="false" ht="15" hidden="false" customHeight="true" outlineLevel="0" collapsed="false">
      <c r="A725" s="1"/>
    </row>
    <row r="726" customFormat="false" ht="15" hidden="false" customHeight="true" outlineLevel="0" collapsed="false">
      <c r="A726" s="1"/>
    </row>
    <row r="727" customFormat="false" ht="15" hidden="false" customHeight="true" outlineLevel="0" collapsed="false">
      <c r="A727" s="1"/>
    </row>
    <row r="728" customFormat="false" ht="15" hidden="false" customHeight="true" outlineLevel="0" collapsed="false">
      <c r="A728" s="1"/>
    </row>
    <row r="729" customFormat="false" ht="15" hidden="false" customHeight="true" outlineLevel="0" collapsed="false">
      <c r="A729" s="1"/>
    </row>
    <row r="730" customFormat="false" ht="15" hidden="false" customHeight="true" outlineLevel="0" collapsed="false">
      <c r="A730" s="1"/>
    </row>
    <row r="731" customFormat="false" ht="15" hidden="false" customHeight="true" outlineLevel="0" collapsed="false">
      <c r="A731" s="1"/>
    </row>
    <row r="732" customFormat="false" ht="15" hidden="false" customHeight="true" outlineLevel="0" collapsed="false">
      <c r="A732" s="1"/>
    </row>
    <row r="733" customFormat="false" ht="15" hidden="false" customHeight="true" outlineLevel="0" collapsed="false">
      <c r="A733" s="1"/>
    </row>
    <row r="734" customFormat="false" ht="15" hidden="false" customHeight="true" outlineLevel="0" collapsed="false">
      <c r="A734" s="1"/>
    </row>
    <row r="735" customFormat="false" ht="15" hidden="false" customHeight="true" outlineLevel="0" collapsed="false">
      <c r="A735" s="1"/>
    </row>
    <row r="736" customFormat="false" ht="15" hidden="false" customHeight="true" outlineLevel="0" collapsed="false">
      <c r="A736" s="1"/>
    </row>
    <row r="737" customFormat="false" ht="15" hidden="false" customHeight="true" outlineLevel="0" collapsed="false">
      <c r="A737" s="1"/>
    </row>
    <row r="738" customFormat="false" ht="15" hidden="false" customHeight="true" outlineLevel="0" collapsed="false">
      <c r="A738" s="1"/>
    </row>
    <row r="739" customFormat="false" ht="15" hidden="false" customHeight="true" outlineLevel="0" collapsed="false">
      <c r="A739" s="1"/>
    </row>
    <row r="740" customFormat="false" ht="15" hidden="false" customHeight="true" outlineLevel="0" collapsed="false">
      <c r="A740" s="1"/>
    </row>
    <row r="741" customFormat="false" ht="15" hidden="false" customHeight="true" outlineLevel="0" collapsed="false">
      <c r="A741" s="1"/>
    </row>
    <row r="742" customFormat="false" ht="15" hidden="false" customHeight="true" outlineLevel="0" collapsed="false">
      <c r="A742" s="1"/>
    </row>
    <row r="743" customFormat="false" ht="15" hidden="false" customHeight="true" outlineLevel="0" collapsed="false">
      <c r="A743" s="1"/>
    </row>
    <row r="744" customFormat="false" ht="15" hidden="false" customHeight="true" outlineLevel="0" collapsed="false">
      <c r="A744" s="1"/>
    </row>
    <row r="745" customFormat="false" ht="15" hidden="false" customHeight="true" outlineLevel="0" collapsed="false">
      <c r="A745" s="1"/>
    </row>
    <row r="746" customFormat="false" ht="15" hidden="false" customHeight="true" outlineLevel="0" collapsed="false">
      <c r="A746" s="1"/>
    </row>
    <row r="747" customFormat="false" ht="15" hidden="false" customHeight="true" outlineLevel="0" collapsed="false">
      <c r="A747" s="1"/>
    </row>
    <row r="748" customFormat="false" ht="15" hidden="false" customHeight="true" outlineLevel="0" collapsed="false">
      <c r="A748" s="1"/>
    </row>
    <row r="749" customFormat="false" ht="15" hidden="false" customHeight="true" outlineLevel="0" collapsed="false">
      <c r="A749" s="1"/>
    </row>
    <row r="750" customFormat="false" ht="15" hidden="false" customHeight="true" outlineLevel="0" collapsed="false">
      <c r="A750" s="1"/>
    </row>
    <row r="751" customFormat="false" ht="15" hidden="false" customHeight="true" outlineLevel="0" collapsed="false">
      <c r="A751" s="1"/>
    </row>
    <row r="752" customFormat="false" ht="15" hidden="false" customHeight="true" outlineLevel="0" collapsed="false">
      <c r="A752" s="1"/>
    </row>
    <row r="753" customFormat="false" ht="15" hidden="false" customHeight="true" outlineLevel="0" collapsed="false">
      <c r="A753" s="1"/>
    </row>
    <row r="754" customFormat="false" ht="15" hidden="false" customHeight="true" outlineLevel="0" collapsed="false">
      <c r="A754" s="1"/>
    </row>
    <row r="755" customFormat="false" ht="15" hidden="false" customHeight="true" outlineLevel="0" collapsed="false">
      <c r="A755" s="1"/>
    </row>
    <row r="756" customFormat="false" ht="15" hidden="false" customHeight="true" outlineLevel="0" collapsed="false">
      <c r="A756" s="1"/>
    </row>
    <row r="757" customFormat="false" ht="15" hidden="false" customHeight="true" outlineLevel="0" collapsed="false">
      <c r="A757" s="1"/>
    </row>
    <row r="758" customFormat="false" ht="15" hidden="false" customHeight="true" outlineLevel="0" collapsed="false">
      <c r="A758" s="1"/>
    </row>
    <row r="759" customFormat="false" ht="15" hidden="false" customHeight="true" outlineLevel="0" collapsed="false">
      <c r="A759" s="1"/>
    </row>
    <row r="760" customFormat="false" ht="15" hidden="false" customHeight="true" outlineLevel="0" collapsed="false">
      <c r="A760" s="1"/>
    </row>
    <row r="761" customFormat="false" ht="15" hidden="false" customHeight="true" outlineLevel="0" collapsed="false">
      <c r="A761" s="1"/>
    </row>
    <row r="762" customFormat="false" ht="15" hidden="false" customHeight="true" outlineLevel="0" collapsed="false">
      <c r="A762" s="1"/>
    </row>
    <row r="763" customFormat="false" ht="15" hidden="false" customHeight="true" outlineLevel="0" collapsed="false">
      <c r="A763" s="1"/>
    </row>
    <row r="764" customFormat="false" ht="15" hidden="false" customHeight="true" outlineLevel="0" collapsed="false">
      <c r="A764" s="1"/>
    </row>
    <row r="765" customFormat="false" ht="15" hidden="false" customHeight="true" outlineLevel="0" collapsed="false">
      <c r="A765" s="1"/>
    </row>
    <row r="766" customFormat="false" ht="15" hidden="false" customHeight="true" outlineLevel="0" collapsed="false">
      <c r="A766" s="1"/>
    </row>
    <row r="767" customFormat="false" ht="15" hidden="false" customHeight="true" outlineLevel="0" collapsed="false">
      <c r="A767" s="1"/>
    </row>
    <row r="768" customFormat="false" ht="15" hidden="false" customHeight="true" outlineLevel="0" collapsed="false">
      <c r="A768" s="1"/>
    </row>
    <row r="769" customFormat="false" ht="15" hidden="false" customHeight="true" outlineLevel="0" collapsed="false">
      <c r="A769" s="1"/>
    </row>
    <row r="770" customFormat="false" ht="15" hidden="false" customHeight="true" outlineLevel="0" collapsed="false">
      <c r="A770" s="1"/>
    </row>
    <row r="771" customFormat="false" ht="15" hidden="false" customHeight="true" outlineLevel="0" collapsed="false">
      <c r="A771" s="1"/>
    </row>
    <row r="772" customFormat="false" ht="15" hidden="false" customHeight="true" outlineLevel="0" collapsed="false">
      <c r="A772" s="1"/>
    </row>
    <row r="773" customFormat="false" ht="15" hidden="false" customHeight="true" outlineLevel="0" collapsed="false">
      <c r="A773" s="1"/>
    </row>
    <row r="774" customFormat="false" ht="15" hidden="false" customHeight="true" outlineLevel="0" collapsed="false">
      <c r="A774" s="1"/>
    </row>
    <row r="775" customFormat="false" ht="15" hidden="false" customHeight="true" outlineLevel="0" collapsed="false">
      <c r="A775" s="1"/>
    </row>
    <row r="776" customFormat="false" ht="15" hidden="false" customHeight="true" outlineLevel="0" collapsed="false">
      <c r="A776" s="1"/>
    </row>
    <row r="777" customFormat="false" ht="15" hidden="false" customHeight="true" outlineLevel="0" collapsed="false">
      <c r="A777" s="1"/>
    </row>
    <row r="778" customFormat="false" ht="15" hidden="false" customHeight="true" outlineLevel="0" collapsed="false">
      <c r="A778" s="1"/>
    </row>
    <row r="779" customFormat="false" ht="15" hidden="false" customHeight="true" outlineLevel="0" collapsed="false">
      <c r="A779" s="1"/>
    </row>
    <row r="780" customFormat="false" ht="15" hidden="false" customHeight="true" outlineLevel="0" collapsed="false">
      <c r="A780" s="1"/>
    </row>
    <row r="781" customFormat="false" ht="15" hidden="false" customHeight="true" outlineLevel="0" collapsed="false">
      <c r="A781" s="1"/>
    </row>
    <row r="782" customFormat="false" ht="15" hidden="false" customHeight="true" outlineLevel="0" collapsed="false">
      <c r="A782" s="1"/>
    </row>
    <row r="783" customFormat="false" ht="15" hidden="false" customHeight="true" outlineLevel="0" collapsed="false">
      <c r="A783" s="1"/>
    </row>
    <row r="784" customFormat="false" ht="15" hidden="false" customHeight="true" outlineLevel="0" collapsed="false">
      <c r="A784" s="1"/>
    </row>
    <row r="785" customFormat="false" ht="15" hidden="false" customHeight="true" outlineLevel="0" collapsed="false">
      <c r="A785" s="1"/>
    </row>
    <row r="786" customFormat="false" ht="15" hidden="false" customHeight="true" outlineLevel="0" collapsed="false">
      <c r="A786" s="1"/>
    </row>
    <row r="787" customFormat="false" ht="15" hidden="false" customHeight="true" outlineLevel="0" collapsed="false">
      <c r="A787" s="1"/>
    </row>
    <row r="788" customFormat="false" ht="15" hidden="false" customHeight="true" outlineLevel="0" collapsed="false">
      <c r="A788" s="1"/>
    </row>
    <row r="789" customFormat="false" ht="15" hidden="false" customHeight="true" outlineLevel="0" collapsed="false">
      <c r="A789" s="1"/>
    </row>
    <row r="790" customFormat="false" ht="15" hidden="false" customHeight="true" outlineLevel="0" collapsed="false">
      <c r="A790" s="1"/>
    </row>
    <row r="791" customFormat="false" ht="15" hidden="false" customHeight="true" outlineLevel="0" collapsed="false">
      <c r="A791" s="1"/>
    </row>
    <row r="792" customFormat="false" ht="15" hidden="false" customHeight="true" outlineLevel="0" collapsed="false">
      <c r="A792" s="1"/>
    </row>
    <row r="793" customFormat="false" ht="15" hidden="false" customHeight="true" outlineLevel="0" collapsed="false">
      <c r="A793" s="1"/>
    </row>
    <row r="794" customFormat="false" ht="15" hidden="false" customHeight="true" outlineLevel="0" collapsed="false">
      <c r="A794" s="1"/>
    </row>
    <row r="795" customFormat="false" ht="15" hidden="false" customHeight="true" outlineLevel="0" collapsed="false">
      <c r="A795" s="1"/>
    </row>
    <row r="796" customFormat="false" ht="15" hidden="false" customHeight="true" outlineLevel="0" collapsed="false">
      <c r="A796" s="1"/>
    </row>
    <row r="797" customFormat="false" ht="15" hidden="false" customHeight="true" outlineLevel="0" collapsed="false">
      <c r="A797" s="1"/>
    </row>
    <row r="798" customFormat="false" ht="15" hidden="false" customHeight="true" outlineLevel="0" collapsed="false">
      <c r="A798" s="1"/>
    </row>
    <row r="799" customFormat="false" ht="15" hidden="false" customHeight="true" outlineLevel="0" collapsed="false">
      <c r="A799" s="1"/>
    </row>
    <row r="800" customFormat="false" ht="15" hidden="false" customHeight="true" outlineLevel="0" collapsed="false">
      <c r="A800" s="1"/>
    </row>
    <row r="801" customFormat="false" ht="15" hidden="false" customHeight="true" outlineLevel="0" collapsed="false">
      <c r="A801" s="1"/>
    </row>
    <row r="802" customFormat="false" ht="15" hidden="false" customHeight="true" outlineLevel="0" collapsed="false">
      <c r="A802" s="1"/>
    </row>
    <row r="803" customFormat="false" ht="15" hidden="false" customHeight="true" outlineLevel="0" collapsed="false">
      <c r="A803" s="1"/>
    </row>
    <row r="804" customFormat="false" ht="15" hidden="false" customHeight="true" outlineLevel="0" collapsed="false">
      <c r="A804" s="1"/>
    </row>
    <row r="805" customFormat="false" ht="15" hidden="false" customHeight="true" outlineLevel="0" collapsed="false">
      <c r="A805" s="1"/>
    </row>
    <row r="806" customFormat="false" ht="15" hidden="false" customHeight="true" outlineLevel="0" collapsed="false">
      <c r="A806" s="1"/>
    </row>
    <row r="807" customFormat="false" ht="15" hidden="false" customHeight="true" outlineLevel="0" collapsed="false">
      <c r="A807" s="1"/>
    </row>
    <row r="808" customFormat="false" ht="15" hidden="false" customHeight="true" outlineLevel="0" collapsed="false">
      <c r="A808" s="1"/>
    </row>
    <row r="809" customFormat="false" ht="15" hidden="false" customHeight="true" outlineLevel="0" collapsed="false">
      <c r="A809" s="1"/>
    </row>
    <row r="810" customFormat="false" ht="15" hidden="false" customHeight="true" outlineLevel="0" collapsed="false">
      <c r="A810" s="1"/>
    </row>
    <row r="811" customFormat="false" ht="15" hidden="false" customHeight="true" outlineLevel="0" collapsed="false">
      <c r="A811" s="1"/>
    </row>
    <row r="812" customFormat="false" ht="15" hidden="false" customHeight="true" outlineLevel="0" collapsed="false">
      <c r="A812" s="1"/>
    </row>
    <row r="813" customFormat="false" ht="15" hidden="false" customHeight="true" outlineLevel="0" collapsed="false">
      <c r="A813" s="1"/>
    </row>
    <row r="814" customFormat="false" ht="15" hidden="false" customHeight="true" outlineLevel="0" collapsed="false">
      <c r="A814" s="1"/>
    </row>
    <row r="815" customFormat="false" ht="15" hidden="false" customHeight="true" outlineLevel="0" collapsed="false">
      <c r="A815" s="1"/>
    </row>
    <row r="816" customFormat="false" ht="15" hidden="false" customHeight="true" outlineLevel="0" collapsed="false">
      <c r="A816" s="1"/>
    </row>
    <row r="817" customFormat="false" ht="15" hidden="false" customHeight="true" outlineLevel="0" collapsed="false">
      <c r="A817" s="1"/>
    </row>
    <row r="818" customFormat="false" ht="15" hidden="false" customHeight="true" outlineLevel="0" collapsed="false">
      <c r="A818" s="1"/>
    </row>
    <row r="819" customFormat="false" ht="15" hidden="false" customHeight="true" outlineLevel="0" collapsed="false">
      <c r="A819" s="1"/>
    </row>
    <row r="820" customFormat="false" ht="15" hidden="false" customHeight="true" outlineLevel="0" collapsed="false">
      <c r="A820" s="1"/>
    </row>
    <row r="821" customFormat="false" ht="15" hidden="false" customHeight="true" outlineLevel="0" collapsed="false">
      <c r="A821" s="1"/>
    </row>
    <row r="822" customFormat="false" ht="15" hidden="false" customHeight="true" outlineLevel="0" collapsed="false">
      <c r="A822" s="1"/>
    </row>
    <row r="823" customFormat="false" ht="15" hidden="false" customHeight="true" outlineLevel="0" collapsed="false">
      <c r="A823" s="1"/>
    </row>
    <row r="824" customFormat="false" ht="15" hidden="false" customHeight="true" outlineLevel="0" collapsed="false">
      <c r="A824" s="1"/>
    </row>
    <row r="825" customFormat="false" ht="15" hidden="false" customHeight="true" outlineLevel="0" collapsed="false">
      <c r="A825" s="1"/>
    </row>
    <row r="826" customFormat="false" ht="15" hidden="false" customHeight="true" outlineLevel="0" collapsed="false">
      <c r="A826" s="1"/>
    </row>
    <row r="827" customFormat="false" ht="15" hidden="false" customHeight="true" outlineLevel="0" collapsed="false">
      <c r="A827" s="1"/>
    </row>
    <row r="828" customFormat="false" ht="15" hidden="false" customHeight="true" outlineLevel="0" collapsed="false">
      <c r="A828" s="1"/>
    </row>
    <row r="829" customFormat="false" ht="15" hidden="false" customHeight="true" outlineLevel="0" collapsed="false">
      <c r="A829" s="1"/>
    </row>
    <row r="830" customFormat="false" ht="15" hidden="false" customHeight="true" outlineLevel="0" collapsed="false">
      <c r="A830" s="1"/>
    </row>
    <row r="831" customFormat="false" ht="15" hidden="false" customHeight="true" outlineLevel="0" collapsed="false">
      <c r="A831" s="1"/>
    </row>
    <row r="832" customFormat="false" ht="15" hidden="false" customHeight="true" outlineLevel="0" collapsed="false">
      <c r="A832" s="1"/>
    </row>
    <row r="833" customFormat="false" ht="15" hidden="false" customHeight="true" outlineLevel="0" collapsed="false">
      <c r="A833" s="1"/>
    </row>
    <row r="834" customFormat="false" ht="15" hidden="false" customHeight="true" outlineLevel="0" collapsed="false">
      <c r="A834" s="1"/>
    </row>
    <row r="835" customFormat="false" ht="15" hidden="false" customHeight="true" outlineLevel="0" collapsed="false">
      <c r="A835" s="1"/>
    </row>
    <row r="836" customFormat="false" ht="15" hidden="false" customHeight="true" outlineLevel="0" collapsed="false">
      <c r="A836" s="1"/>
    </row>
    <row r="837" customFormat="false" ht="15" hidden="false" customHeight="true" outlineLevel="0" collapsed="false">
      <c r="A837" s="1"/>
    </row>
    <row r="838" customFormat="false" ht="15" hidden="false" customHeight="true" outlineLevel="0" collapsed="false">
      <c r="A838" s="1"/>
    </row>
    <row r="839" customFormat="false" ht="15" hidden="false" customHeight="true" outlineLevel="0" collapsed="false">
      <c r="A839" s="1"/>
    </row>
    <row r="840" customFormat="false" ht="15" hidden="false" customHeight="true" outlineLevel="0" collapsed="false">
      <c r="A840" s="1"/>
    </row>
    <row r="841" customFormat="false" ht="15" hidden="false" customHeight="true" outlineLevel="0" collapsed="false">
      <c r="A841" s="1"/>
    </row>
    <row r="842" customFormat="false" ht="15" hidden="false" customHeight="true" outlineLevel="0" collapsed="false">
      <c r="A842" s="1"/>
    </row>
    <row r="843" customFormat="false" ht="15" hidden="false" customHeight="true" outlineLevel="0" collapsed="false">
      <c r="A843" s="1"/>
    </row>
    <row r="844" customFormat="false" ht="15" hidden="false" customHeight="true" outlineLevel="0" collapsed="false">
      <c r="A844" s="1"/>
    </row>
    <row r="845" customFormat="false" ht="15" hidden="false" customHeight="true" outlineLevel="0" collapsed="false">
      <c r="A845" s="1"/>
    </row>
    <row r="846" customFormat="false" ht="15" hidden="false" customHeight="true" outlineLevel="0" collapsed="false">
      <c r="A846" s="1"/>
    </row>
    <row r="847" customFormat="false" ht="15" hidden="false" customHeight="true" outlineLevel="0" collapsed="false">
      <c r="A847" s="1"/>
    </row>
    <row r="848" customFormat="false" ht="15" hidden="false" customHeight="true" outlineLevel="0" collapsed="false">
      <c r="A848" s="1"/>
    </row>
    <row r="849" customFormat="false" ht="15" hidden="false" customHeight="true" outlineLevel="0" collapsed="false">
      <c r="A849" s="1"/>
    </row>
    <row r="850" customFormat="false" ht="15" hidden="false" customHeight="true" outlineLevel="0" collapsed="false">
      <c r="A850" s="1"/>
    </row>
    <row r="851" customFormat="false" ht="15" hidden="false" customHeight="true" outlineLevel="0" collapsed="false">
      <c r="A851" s="1"/>
    </row>
    <row r="852" customFormat="false" ht="15" hidden="false" customHeight="true" outlineLevel="0" collapsed="false">
      <c r="A852" s="1"/>
    </row>
    <row r="853" customFormat="false" ht="15" hidden="false" customHeight="true" outlineLevel="0" collapsed="false">
      <c r="A853" s="1"/>
    </row>
    <row r="854" customFormat="false" ht="15" hidden="false" customHeight="true" outlineLevel="0" collapsed="false">
      <c r="A854" s="1"/>
    </row>
    <row r="855" customFormat="false" ht="15" hidden="false" customHeight="true" outlineLevel="0" collapsed="false">
      <c r="A855" s="1"/>
    </row>
    <row r="856" customFormat="false" ht="15" hidden="false" customHeight="true" outlineLevel="0" collapsed="false">
      <c r="A856" s="1"/>
    </row>
    <row r="857" customFormat="false" ht="15" hidden="false" customHeight="true" outlineLevel="0" collapsed="false">
      <c r="A857" s="1"/>
    </row>
    <row r="858" customFormat="false" ht="15" hidden="false" customHeight="true" outlineLevel="0" collapsed="false">
      <c r="A858" s="1"/>
    </row>
    <row r="859" customFormat="false" ht="15" hidden="false" customHeight="true" outlineLevel="0" collapsed="false">
      <c r="A859" s="1"/>
    </row>
    <row r="860" customFormat="false" ht="15" hidden="false" customHeight="true" outlineLevel="0" collapsed="false">
      <c r="A860" s="1"/>
    </row>
    <row r="861" customFormat="false" ht="15" hidden="false" customHeight="true" outlineLevel="0" collapsed="false">
      <c r="A861" s="1"/>
    </row>
    <row r="862" customFormat="false" ht="15" hidden="false" customHeight="true" outlineLevel="0" collapsed="false">
      <c r="A862" s="1"/>
    </row>
    <row r="863" customFormat="false" ht="15" hidden="false" customHeight="true" outlineLevel="0" collapsed="false">
      <c r="A863" s="1"/>
    </row>
    <row r="864" customFormat="false" ht="15" hidden="false" customHeight="true" outlineLevel="0" collapsed="false">
      <c r="A864" s="1"/>
    </row>
    <row r="865" customFormat="false" ht="15" hidden="false" customHeight="true" outlineLevel="0" collapsed="false">
      <c r="A865" s="1"/>
    </row>
    <row r="866" customFormat="false" ht="15" hidden="false" customHeight="true" outlineLevel="0" collapsed="false">
      <c r="A866" s="1"/>
    </row>
    <row r="867" customFormat="false" ht="15" hidden="false" customHeight="true" outlineLevel="0" collapsed="false">
      <c r="A867" s="1"/>
    </row>
    <row r="868" customFormat="false" ht="15" hidden="false" customHeight="true" outlineLevel="0" collapsed="false">
      <c r="A868" s="1"/>
    </row>
    <row r="869" customFormat="false" ht="15" hidden="false" customHeight="true" outlineLevel="0" collapsed="false">
      <c r="A869" s="1"/>
    </row>
    <row r="870" customFormat="false" ht="15" hidden="false" customHeight="true" outlineLevel="0" collapsed="false">
      <c r="A870" s="1"/>
    </row>
    <row r="871" customFormat="false" ht="15" hidden="false" customHeight="true" outlineLevel="0" collapsed="false">
      <c r="A871" s="1"/>
    </row>
    <row r="872" customFormat="false" ht="15" hidden="false" customHeight="true" outlineLevel="0" collapsed="false">
      <c r="A872" s="1"/>
    </row>
    <row r="873" customFormat="false" ht="15" hidden="false" customHeight="true" outlineLevel="0" collapsed="false">
      <c r="A873" s="1"/>
    </row>
    <row r="874" customFormat="false" ht="15" hidden="false" customHeight="true" outlineLevel="0" collapsed="false">
      <c r="A874" s="1"/>
    </row>
    <row r="875" customFormat="false" ht="15" hidden="false" customHeight="true" outlineLevel="0" collapsed="false">
      <c r="A875" s="1"/>
    </row>
    <row r="876" customFormat="false" ht="15" hidden="false" customHeight="true" outlineLevel="0" collapsed="false">
      <c r="A876" s="1"/>
    </row>
    <row r="877" customFormat="false" ht="15" hidden="false" customHeight="true" outlineLevel="0" collapsed="false">
      <c r="A877" s="1"/>
    </row>
    <row r="878" customFormat="false" ht="15" hidden="false" customHeight="true" outlineLevel="0" collapsed="false">
      <c r="A878" s="1"/>
    </row>
    <row r="879" customFormat="false" ht="15" hidden="false" customHeight="true" outlineLevel="0" collapsed="false">
      <c r="A879" s="1"/>
    </row>
    <row r="880" customFormat="false" ht="15" hidden="false" customHeight="true" outlineLevel="0" collapsed="false">
      <c r="A880" s="1"/>
    </row>
    <row r="881" customFormat="false" ht="15" hidden="false" customHeight="true" outlineLevel="0" collapsed="false">
      <c r="A881" s="1"/>
    </row>
    <row r="882" customFormat="false" ht="15" hidden="false" customHeight="true" outlineLevel="0" collapsed="false">
      <c r="A882" s="1"/>
    </row>
    <row r="883" customFormat="false" ht="15" hidden="false" customHeight="true" outlineLevel="0" collapsed="false">
      <c r="A883" s="1"/>
    </row>
    <row r="884" customFormat="false" ht="15" hidden="false" customHeight="true" outlineLevel="0" collapsed="false">
      <c r="A884" s="1"/>
    </row>
    <row r="885" customFormat="false" ht="15" hidden="false" customHeight="true" outlineLevel="0" collapsed="false">
      <c r="A885" s="1"/>
    </row>
    <row r="886" customFormat="false" ht="15" hidden="false" customHeight="true" outlineLevel="0" collapsed="false">
      <c r="A886" s="1"/>
    </row>
    <row r="887" customFormat="false" ht="15" hidden="false" customHeight="true" outlineLevel="0" collapsed="false">
      <c r="A887" s="1"/>
    </row>
    <row r="888" customFormat="false" ht="15" hidden="false" customHeight="true" outlineLevel="0" collapsed="false">
      <c r="A888" s="1"/>
    </row>
    <row r="889" customFormat="false" ht="15" hidden="false" customHeight="true" outlineLevel="0" collapsed="false">
      <c r="A889" s="1"/>
    </row>
    <row r="890" customFormat="false" ht="15" hidden="false" customHeight="true" outlineLevel="0" collapsed="false">
      <c r="A890" s="1"/>
    </row>
    <row r="891" customFormat="false" ht="15" hidden="false" customHeight="true" outlineLevel="0" collapsed="false">
      <c r="A891" s="1"/>
    </row>
    <row r="892" customFormat="false" ht="15" hidden="false" customHeight="true" outlineLevel="0" collapsed="false">
      <c r="A892" s="1"/>
    </row>
    <row r="893" customFormat="false" ht="15" hidden="false" customHeight="true" outlineLevel="0" collapsed="false">
      <c r="A893" s="1"/>
    </row>
    <row r="894" customFormat="false" ht="15" hidden="false" customHeight="true" outlineLevel="0" collapsed="false">
      <c r="A894" s="1"/>
    </row>
    <row r="895" customFormat="false" ht="15" hidden="false" customHeight="true" outlineLevel="0" collapsed="false">
      <c r="A895" s="1"/>
    </row>
    <row r="896" customFormat="false" ht="15" hidden="false" customHeight="true" outlineLevel="0" collapsed="false">
      <c r="A896" s="1"/>
    </row>
    <row r="897" customFormat="false" ht="15" hidden="false" customHeight="true" outlineLevel="0" collapsed="false">
      <c r="A897" s="1"/>
    </row>
    <row r="898" customFormat="false" ht="15" hidden="false" customHeight="true" outlineLevel="0" collapsed="false">
      <c r="A898" s="1"/>
    </row>
    <row r="899" customFormat="false" ht="15" hidden="false" customHeight="true" outlineLevel="0" collapsed="false">
      <c r="A899" s="1"/>
    </row>
    <row r="900" customFormat="false" ht="15" hidden="false" customHeight="true" outlineLevel="0" collapsed="false">
      <c r="A900" s="1"/>
    </row>
    <row r="901" customFormat="false" ht="15" hidden="false" customHeight="true" outlineLevel="0" collapsed="false">
      <c r="A901" s="1"/>
    </row>
    <row r="902" customFormat="false" ht="15" hidden="false" customHeight="true" outlineLevel="0" collapsed="false">
      <c r="A902" s="1"/>
    </row>
    <row r="903" customFormat="false" ht="15" hidden="false" customHeight="true" outlineLevel="0" collapsed="false">
      <c r="A903" s="1"/>
    </row>
    <row r="904" customFormat="false" ht="15" hidden="false" customHeight="true" outlineLevel="0" collapsed="false">
      <c r="A904" s="1"/>
    </row>
    <row r="905" customFormat="false" ht="15" hidden="false" customHeight="true" outlineLevel="0" collapsed="false">
      <c r="A905" s="1"/>
    </row>
    <row r="906" customFormat="false" ht="15" hidden="false" customHeight="true" outlineLevel="0" collapsed="false">
      <c r="A906" s="1"/>
    </row>
    <row r="907" customFormat="false" ht="15" hidden="false" customHeight="true" outlineLevel="0" collapsed="false">
      <c r="A907" s="1"/>
    </row>
    <row r="908" customFormat="false" ht="15" hidden="false" customHeight="true" outlineLevel="0" collapsed="false">
      <c r="A908" s="1"/>
    </row>
    <row r="909" customFormat="false" ht="15" hidden="false" customHeight="true" outlineLevel="0" collapsed="false">
      <c r="A909" s="1"/>
    </row>
    <row r="910" customFormat="false" ht="15" hidden="false" customHeight="true" outlineLevel="0" collapsed="false">
      <c r="A910" s="1"/>
    </row>
    <row r="911" customFormat="false" ht="15" hidden="false" customHeight="true" outlineLevel="0" collapsed="false">
      <c r="A911" s="1"/>
    </row>
    <row r="912" customFormat="false" ht="15" hidden="false" customHeight="true" outlineLevel="0" collapsed="false">
      <c r="A912" s="1"/>
    </row>
    <row r="913" customFormat="false" ht="15" hidden="false" customHeight="true" outlineLevel="0" collapsed="false">
      <c r="A913" s="1"/>
    </row>
    <row r="914" customFormat="false" ht="15" hidden="false" customHeight="true" outlineLevel="0" collapsed="false">
      <c r="A914" s="1"/>
    </row>
    <row r="915" customFormat="false" ht="15" hidden="false" customHeight="true" outlineLevel="0" collapsed="false">
      <c r="A915" s="1"/>
    </row>
    <row r="916" customFormat="false" ht="15" hidden="false" customHeight="true" outlineLevel="0" collapsed="false">
      <c r="A916" s="1"/>
    </row>
    <row r="917" customFormat="false" ht="15" hidden="false" customHeight="true" outlineLevel="0" collapsed="false">
      <c r="A917" s="1"/>
    </row>
    <row r="918" customFormat="false" ht="15" hidden="false" customHeight="true" outlineLevel="0" collapsed="false">
      <c r="A918" s="1"/>
    </row>
    <row r="919" customFormat="false" ht="15" hidden="false" customHeight="true" outlineLevel="0" collapsed="false">
      <c r="A919" s="1"/>
    </row>
    <row r="920" customFormat="false" ht="15" hidden="false" customHeight="true" outlineLevel="0" collapsed="false">
      <c r="A920" s="1"/>
    </row>
    <row r="921" customFormat="false" ht="15" hidden="false" customHeight="true" outlineLevel="0" collapsed="false">
      <c r="A921" s="1"/>
    </row>
    <row r="922" customFormat="false" ht="15" hidden="false" customHeight="true" outlineLevel="0" collapsed="false">
      <c r="A922" s="1"/>
    </row>
    <row r="923" customFormat="false" ht="15" hidden="false" customHeight="true" outlineLevel="0" collapsed="false">
      <c r="A923" s="1"/>
    </row>
    <row r="924" customFormat="false" ht="15" hidden="false" customHeight="true" outlineLevel="0" collapsed="false">
      <c r="A924" s="1"/>
    </row>
    <row r="925" customFormat="false" ht="15" hidden="false" customHeight="true" outlineLevel="0" collapsed="false">
      <c r="A925" s="1"/>
    </row>
    <row r="926" customFormat="false" ht="15" hidden="false" customHeight="true" outlineLevel="0" collapsed="false">
      <c r="A926" s="1"/>
    </row>
    <row r="927" customFormat="false" ht="15" hidden="false" customHeight="true" outlineLevel="0" collapsed="false">
      <c r="A927" s="1"/>
    </row>
    <row r="928" customFormat="false" ht="15" hidden="false" customHeight="true" outlineLevel="0" collapsed="false">
      <c r="A928" s="1"/>
    </row>
    <row r="929" customFormat="false" ht="15" hidden="false" customHeight="true" outlineLevel="0" collapsed="false">
      <c r="A929" s="1"/>
    </row>
    <row r="930" customFormat="false" ht="15" hidden="false" customHeight="true" outlineLevel="0" collapsed="false">
      <c r="A930" s="1"/>
    </row>
    <row r="931" customFormat="false" ht="15" hidden="false" customHeight="true" outlineLevel="0" collapsed="false">
      <c r="A931" s="1"/>
    </row>
    <row r="932" customFormat="false" ht="15" hidden="false" customHeight="true" outlineLevel="0" collapsed="false">
      <c r="A932" s="1"/>
    </row>
    <row r="933" customFormat="false" ht="15" hidden="false" customHeight="true" outlineLevel="0" collapsed="false">
      <c r="A933" s="1"/>
    </row>
    <row r="934" customFormat="false" ht="15" hidden="false" customHeight="true" outlineLevel="0" collapsed="false">
      <c r="A934" s="1"/>
    </row>
    <row r="935" customFormat="false" ht="15" hidden="false" customHeight="true" outlineLevel="0" collapsed="false">
      <c r="A935" s="1"/>
    </row>
    <row r="936" customFormat="false" ht="15" hidden="false" customHeight="true" outlineLevel="0" collapsed="false">
      <c r="A936" s="1"/>
    </row>
    <row r="937" customFormat="false" ht="15" hidden="false" customHeight="true" outlineLevel="0" collapsed="false">
      <c r="A937" s="1"/>
    </row>
    <row r="938" customFormat="false" ht="15" hidden="false" customHeight="true" outlineLevel="0" collapsed="false">
      <c r="A938" s="1"/>
    </row>
    <row r="939" customFormat="false" ht="15" hidden="false" customHeight="true" outlineLevel="0" collapsed="false">
      <c r="A939" s="1"/>
    </row>
    <row r="940" customFormat="false" ht="15" hidden="false" customHeight="true" outlineLevel="0" collapsed="false">
      <c r="A940" s="1"/>
    </row>
    <row r="941" customFormat="false" ht="15" hidden="false" customHeight="true" outlineLevel="0" collapsed="false">
      <c r="A941" s="1"/>
    </row>
    <row r="942" customFormat="false" ht="15" hidden="false" customHeight="true" outlineLevel="0" collapsed="false">
      <c r="A942" s="1"/>
    </row>
    <row r="943" customFormat="false" ht="15" hidden="false" customHeight="true" outlineLevel="0" collapsed="false">
      <c r="A943" s="1"/>
    </row>
    <row r="944" customFormat="false" ht="15" hidden="false" customHeight="true" outlineLevel="0" collapsed="false">
      <c r="A944" s="1"/>
    </row>
    <row r="945" customFormat="false" ht="15" hidden="false" customHeight="true" outlineLevel="0" collapsed="false">
      <c r="A945" s="1"/>
    </row>
    <row r="946" customFormat="false" ht="15" hidden="false" customHeight="true" outlineLevel="0" collapsed="false">
      <c r="A946" s="1"/>
    </row>
    <row r="947" customFormat="false" ht="15" hidden="false" customHeight="true" outlineLevel="0" collapsed="false">
      <c r="A947" s="1"/>
    </row>
    <row r="948" customFormat="false" ht="15" hidden="false" customHeight="true" outlineLevel="0" collapsed="false">
      <c r="A948" s="1"/>
    </row>
    <row r="949" customFormat="false" ht="15" hidden="false" customHeight="true" outlineLevel="0" collapsed="false">
      <c r="A949" s="1"/>
    </row>
    <row r="950" customFormat="false" ht="15" hidden="false" customHeight="true" outlineLevel="0" collapsed="false">
      <c r="A950" s="1"/>
    </row>
    <row r="951" customFormat="false" ht="15" hidden="false" customHeight="true" outlineLevel="0" collapsed="false">
      <c r="A951" s="1"/>
    </row>
    <row r="952" customFormat="false" ht="15" hidden="false" customHeight="true" outlineLevel="0" collapsed="false">
      <c r="A952" s="1"/>
    </row>
    <row r="953" customFormat="false" ht="15" hidden="false" customHeight="true" outlineLevel="0" collapsed="false">
      <c r="A953" s="1"/>
    </row>
    <row r="954" customFormat="false" ht="15" hidden="false" customHeight="true" outlineLevel="0" collapsed="false">
      <c r="A954" s="1"/>
    </row>
    <row r="955" customFormat="false" ht="15" hidden="false" customHeight="true" outlineLevel="0" collapsed="false">
      <c r="A955" s="1"/>
    </row>
    <row r="956" customFormat="false" ht="15" hidden="false" customHeight="true" outlineLevel="0" collapsed="false">
      <c r="A956" s="1"/>
    </row>
    <row r="957" customFormat="false" ht="15" hidden="false" customHeight="true" outlineLevel="0" collapsed="false">
      <c r="A957" s="1"/>
    </row>
    <row r="958" customFormat="false" ht="15" hidden="false" customHeight="true" outlineLevel="0" collapsed="false">
      <c r="A958" s="1"/>
    </row>
    <row r="959" customFormat="false" ht="15" hidden="false" customHeight="true" outlineLevel="0" collapsed="false">
      <c r="A959" s="1"/>
    </row>
    <row r="960" customFormat="false" ht="15" hidden="false" customHeight="true" outlineLevel="0" collapsed="false">
      <c r="A960" s="1"/>
    </row>
    <row r="961" customFormat="false" ht="15" hidden="false" customHeight="true" outlineLevel="0" collapsed="false">
      <c r="A961" s="1"/>
    </row>
    <row r="962" customFormat="false" ht="15" hidden="false" customHeight="true" outlineLevel="0" collapsed="false">
      <c r="A962" s="1"/>
    </row>
    <row r="963" customFormat="false" ht="15" hidden="false" customHeight="true" outlineLevel="0" collapsed="false">
      <c r="A963" s="1"/>
    </row>
    <row r="964" customFormat="false" ht="15" hidden="false" customHeight="true" outlineLevel="0" collapsed="false">
      <c r="A964" s="1"/>
    </row>
    <row r="965" customFormat="false" ht="15" hidden="false" customHeight="true" outlineLevel="0" collapsed="false">
      <c r="A965" s="1"/>
    </row>
    <row r="966" customFormat="false" ht="15" hidden="false" customHeight="true" outlineLevel="0" collapsed="false">
      <c r="A966" s="1"/>
    </row>
    <row r="967" customFormat="false" ht="15" hidden="false" customHeight="true" outlineLevel="0" collapsed="false">
      <c r="A967" s="1"/>
    </row>
    <row r="968" customFormat="false" ht="15" hidden="false" customHeight="true" outlineLevel="0" collapsed="false">
      <c r="A968" s="1"/>
    </row>
    <row r="969" customFormat="false" ht="15" hidden="false" customHeight="true" outlineLevel="0" collapsed="false">
      <c r="A969" s="1"/>
    </row>
    <row r="970" customFormat="false" ht="15" hidden="false" customHeight="true" outlineLevel="0" collapsed="false">
      <c r="A970" s="1"/>
    </row>
    <row r="971" customFormat="false" ht="15" hidden="false" customHeight="true" outlineLevel="0" collapsed="false">
      <c r="A971" s="1"/>
    </row>
    <row r="972" customFormat="false" ht="15" hidden="false" customHeight="true" outlineLevel="0" collapsed="false">
      <c r="A972" s="1"/>
    </row>
    <row r="973" customFormat="false" ht="15" hidden="false" customHeight="true" outlineLevel="0" collapsed="false">
      <c r="A973" s="1"/>
    </row>
    <row r="974" customFormat="false" ht="15" hidden="false" customHeight="true" outlineLevel="0" collapsed="false">
      <c r="A974" s="1"/>
    </row>
    <row r="975" customFormat="false" ht="15" hidden="false" customHeight="true" outlineLevel="0" collapsed="false">
      <c r="A975" s="1"/>
    </row>
    <row r="976" customFormat="false" ht="15" hidden="false" customHeight="true" outlineLevel="0" collapsed="false">
      <c r="A976" s="1"/>
    </row>
    <row r="977" customFormat="false" ht="15" hidden="false" customHeight="true" outlineLevel="0" collapsed="false">
      <c r="A977" s="1"/>
    </row>
    <row r="978" customFormat="false" ht="15" hidden="false" customHeight="true" outlineLevel="0" collapsed="false">
      <c r="A978" s="1"/>
    </row>
    <row r="979" customFormat="false" ht="15" hidden="false" customHeight="true" outlineLevel="0" collapsed="false">
      <c r="A979" s="1"/>
    </row>
    <row r="980" customFormat="false" ht="15" hidden="false" customHeight="true" outlineLevel="0" collapsed="false">
      <c r="A980" s="1"/>
    </row>
    <row r="981" customFormat="false" ht="15" hidden="false" customHeight="true" outlineLevel="0" collapsed="false">
      <c r="A981" s="1"/>
    </row>
    <row r="982" customFormat="false" ht="15" hidden="false" customHeight="true" outlineLevel="0" collapsed="false">
      <c r="A982" s="1"/>
    </row>
    <row r="983" customFormat="false" ht="15" hidden="false" customHeight="true" outlineLevel="0" collapsed="false">
      <c r="A983" s="1"/>
    </row>
    <row r="984" customFormat="false" ht="15" hidden="false" customHeight="true" outlineLevel="0" collapsed="false">
      <c r="A984" s="1"/>
    </row>
    <row r="985" customFormat="false" ht="15" hidden="false" customHeight="true" outlineLevel="0" collapsed="false">
      <c r="A985" s="1"/>
    </row>
    <row r="986" customFormat="false" ht="15" hidden="false" customHeight="true" outlineLevel="0" collapsed="false">
      <c r="A986" s="1"/>
    </row>
    <row r="987" customFormat="false" ht="15" hidden="false" customHeight="true" outlineLevel="0" collapsed="false">
      <c r="A987" s="1"/>
    </row>
    <row r="988" customFormat="false" ht="15" hidden="false" customHeight="true" outlineLevel="0" collapsed="false">
      <c r="A988" s="1"/>
    </row>
    <row r="989" customFormat="false" ht="15" hidden="false" customHeight="true" outlineLevel="0" collapsed="false">
      <c r="A989" s="1"/>
    </row>
    <row r="990" customFormat="false" ht="15" hidden="false" customHeight="true" outlineLevel="0" collapsed="false">
      <c r="A990" s="1"/>
    </row>
    <row r="991" customFormat="false" ht="15" hidden="false" customHeight="true" outlineLevel="0" collapsed="false">
      <c r="A991" s="1"/>
    </row>
    <row r="992" customFormat="false" ht="15" hidden="false" customHeight="true" outlineLevel="0" collapsed="false">
      <c r="A992" s="1"/>
    </row>
    <row r="993" customFormat="false" ht="15" hidden="false" customHeight="true" outlineLevel="0" collapsed="false">
      <c r="A993" s="1"/>
    </row>
    <row r="994" customFormat="false" ht="15" hidden="false" customHeight="true" outlineLevel="0" collapsed="false">
      <c r="A994" s="1"/>
    </row>
    <row r="995" customFormat="false" ht="15" hidden="false" customHeight="true" outlineLevel="0" collapsed="false">
      <c r="A995" s="1"/>
    </row>
    <row r="996" customFormat="false" ht="15" hidden="false" customHeight="true" outlineLevel="0" collapsed="false">
      <c r="A996" s="1"/>
    </row>
    <row r="997" customFormat="false" ht="15" hidden="false" customHeight="true" outlineLevel="0" collapsed="false">
      <c r="A997" s="1"/>
    </row>
    <row r="998" customFormat="false" ht="15" hidden="false" customHeight="true" outlineLevel="0" collapsed="false">
      <c r="A998" s="1"/>
    </row>
    <row r="999" customFormat="false" ht="15" hidden="false" customHeight="true" outlineLevel="0" collapsed="false">
      <c r="A999" s="1"/>
    </row>
    <row r="1000" customFormat="false" ht="15" hidden="false" customHeight="true" outlineLevel="0" collapsed="false">
      <c r="A1000" s="1"/>
    </row>
    <row r="1001" customFormat="false" ht="15" hidden="false" customHeight="true" outlineLevel="0" collapsed="false">
      <c r="A1001" s="1"/>
    </row>
    <row r="1002" customFormat="false" ht="15" hidden="false" customHeight="true" outlineLevel="0" collapsed="false">
      <c r="A1002" s="1"/>
    </row>
    <row r="1003" customFormat="false" ht="15" hidden="false" customHeight="true" outlineLevel="0" collapsed="false">
      <c r="A1003" s="1"/>
    </row>
    <row r="1004" customFormat="false" ht="15" hidden="false" customHeight="true" outlineLevel="0" collapsed="false">
      <c r="A1004" s="1"/>
    </row>
    <row r="1005" customFormat="false" ht="15" hidden="false" customHeight="true" outlineLevel="0" collapsed="false">
      <c r="A1005" s="1"/>
    </row>
    <row r="1006" customFormat="false" ht="15" hidden="false" customHeight="true" outlineLevel="0" collapsed="false">
      <c r="A1006" s="1"/>
    </row>
    <row r="1007" customFormat="false" ht="15" hidden="false" customHeight="true" outlineLevel="0" collapsed="false">
      <c r="A1007" s="1"/>
    </row>
    <row r="1008" customFormat="false" ht="15" hidden="false" customHeight="true" outlineLevel="0" collapsed="false">
      <c r="A1008" s="1"/>
    </row>
    <row r="1009" customFormat="false" ht="15" hidden="false" customHeight="true" outlineLevel="0" collapsed="false">
      <c r="A1009" s="1"/>
    </row>
    <row r="1010" customFormat="false" ht="15" hidden="false" customHeight="true" outlineLevel="0" collapsed="false">
      <c r="A1010" s="1"/>
    </row>
    <row r="1011" customFormat="false" ht="15" hidden="false" customHeight="true" outlineLevel="0" collapsed="false">
      <c r="A1011" s="1"/>
    </row>
    <row r="1012" customFormat="false" ht="15" hidden="false" customHeight="true" outlineLevel="0" collapsed="false">
      <c r="A1012" s="1"/>
    </row>
    <row r="1013" customFormat="false" ht="15" hidden="false" customHeight="true" outlineLevel="0" collapsed="false">
      <c r="A1013" s="1"/>
    </row>
    <row r="1014" customFormat="false" ht="15" hidden="false" customHeight="true" outlineLevel="0" collapsed="false">
      <c r="A1014" s="1"/>
    </row>
    <row r="1015" customFormat="false" ht="15" hidden="false" customHeight="true" outlineLevel="0" collapsed="false">
      <c r="A1015" s="1"/>
    </row>
    <row r="1016" customFormat="false" ht="15" hidden="false" customHeight="true" outlineLevel="0" collapsed="false">
      <c r="A1016" s="1"/>
    </row>
    <row r="1017" customFormat="false" ht="15" hidden="false" customHeight="true" outlineLevel="0" collapsed="false">
      <c r="A1017" s="1"/>
    </row>
    <row r="1018" customFormat="false" ht="15" hidden="false" customHeight="true" outlineLevel="0" collapsed="false">
      <c r="A1018" s="1"/>
    </row>
    <row r="1019" customFormat="false" ht="12" hidden="false" customHeight="true" outlineLevel="0" collapsed="false">
      <c r="A1019" s="3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6"/>
  </cols>
  <sheetData>
    <row r="1" customFormat="false" ht="15" hidden="false" customHeight="true" outlineLevel="0" collapsed="false">
      <c r="A1" s="2" t="s">
        <v>198</v>
      </c>
    </row>
    <row r="3" customFormat="false" ht="15" hidden="false" customHeight="true" outlineLevel="0" collapsed="false">
      <c r="A3" s="11" t="s">
        <v>199</v>
      </c>
    </row>
    <row r="4" customFormat="false" ht="14.25" hidden="false" customHeight="true" outlineLevel="0" collapsed="false">
      <c r="A4" s="26" t="s">
        <v>200</v>
      </c>
      <c r="B4" s="18" t="n">
        <v>10000</v>
      </c>
    </row>
    <row r="5" customFormat="false" ht="14.25" hidden="false" customHeight="true" outlineLevel="0" collapsed="false">
      <c r="A5" s="26" t="s">
        <v>201</v>
      </c>
      <c r="B5" s="18" t="n">
        <v>0</v>
      </c>
    </row>
    <row r="6" customFormat="false" ht="14.25" hidden="false" customHeight="true" outlineLevel="0" collapsed="false">
      <c r="A6" s="26" t="s">
        <v>202</v>
      </c>
      <c r="B6" s="18" t="n">
        <v>0</v>
      </c>
    </row>
    <row r="7" customFormat="false" ht="14.25" hidden="false" customHeight="true" outlineLevel="0" collapsed="false">
      <c r="A7" s="26" t="s">
        <v>203</v>
      </c>
      <c r="B7" s="18" t="n">
        <v>3000</v>
      </c>
    </row>
    <row r="8" customFormat="false" ht="14.25" hidden="false" customHeight="true" outlineLevel="0" collapsed="false">
      <c r="A8" s="26" t="s">
        <v>204</v>
      </c>
      <c r="B8" s="18" t="n">
        <v>0</v>
      </c>
    </row>
    <row r="9" customFormat="false" ht="15" hidden="false" customHeight="true" outlineLevel="0" collapsed="false">
      <c r="A9" s="26" t="s">
        <v>205</v>
      </c>
      <c r="B9" s="18" t="n">
        <v>0</v>
      </c>
    </row>
    <row r="10" customFormat="false" ht="15" hidden="false" customHeight="true" outlineLevel="0" collapsed="false">
      <c r="A10" s="26" t="s">
        <v>206</v>
      </c>
      <c r="B10" s="18" t="n">
        <v>0</v>
      </c>
    </row>
    <row r="11" customFormat="false" ht="15" hidden="false" customHeight="true" outlineLevel="0" collapsed="false">
      <c r="A11" s="19" t="s">
        <v>207</v>
      </c>
      <c r="B11" s="20" t="n">
        <f aca="false">SUM(B4:B10)</f>
        <v>13000</v>
      </c>
    </row>
    <row r="13" customFormat="false" ht="15" hidden="false" customHeight="true" outlineLevel="0" collapsed="false">
      <c r="A13" s="11" t="s">
        <v>208</v>
      </c>
    </row>
    <row r="14" customFormat="false" ht="14.25" hidden="false" customHeight="true" outlineLevel="0" collapsed="false">
      <c r="A14" s="26" t="s">
        <v>209</v>
      </c>
      <c r="B14" s="18" t="n">
        <v>0</v>
      </c>
    </row>
    <row r="15" customFormat="false" ht="15" hidden="false" customHeight="true" outlineLevel="0" collapsed="false">
      <c r="A15" s="26" t="s">
        <v>210</v>
      </c>
      <c r="B15" s="18" t="n">
        <v>0</v>
      </c>
    </row>
    <row r="16" customFormat="false" ht="15" hidden="false" customHeight="true" outlineLevel="0" collapsed="false">
      <c r="A16" s="26" t="s">
        <v>211</v>
      </c>
      <c r="B16" s="18" t="n">
        <v>0</v>
      </c>
    </row>
    <row r="17" customFormat="false" ht="14.25" hidden="false" customHeight="true" outlineLevel="0" collapsed="false">
      <c r="A17" s="26" t="s">
        <v>212</v>
      </c>
      <c r="B17" s="18" t="n">
        <v>0</v>
      </c>
    </row>
    <row r="18" customFormat="false" ht="15" hidden="false" customHeight="true" outlineLevel="0" collapsed="false">
      <c r="A18" s="26" t="s">
        <v>213</v>
      </c>
      <c r="B18" s="18" t="n">
        <v>0</v>
      </c>
    </row>
    <row r="19" customFormat="false" ht="15" hidden="false" customHeight="true" outlineLevel="0" collapsed="false">
      <c r="A19" s="19" t="s">
        <v>207</v>
      </c>
      <c r="B19" s="20" t="n">
        <f aca="false">SUM(B14:B18)</f>
        <v>0</v>
      </c>
    </row>
    <row r="21" customFormat="false" ht="15" hidden="false" customHeight="true" outlineLevel="0" collapsed="false">
      <c r="A21" s="11" t="s">
        <v>214</v>
      </c>
    </row>
    <row r="22" customFormat="false" ht="14.25" hidden="false" customHeight="true" outlineLevel="0" collapsed="false">
      <c r="A22" s="26" t="s">
        <v>215</v>
      </c>
      <c r="B22" s="18" t="n">
        <v>6000</v>
      </c>
    </row>
    <row r="23" customFormat="false" ht="14.25" hidden="false" customHeight="true" outlineLevel="0" collapsed="false">
      <c r="A23" s="26" t="s">
        <v>216</v>
      </c>
      <c r="B23" s="18" t="n">
        <v>5000</v>
      </c>
    </row>
    <row r="24" customFormat="false" ht="15" hidden="false" customHeight="true" outlineLevel="0" collapsed="false">
      <c r="A24" s="26" t="s">
        <v>217</v>
      </c>
      <c r="B24" s="18" t="n">
        <v>2000</v>
      </c>
    </row>
    <row r="25" customFormat="false" ht="14.25" hidden="false" customHeight="true" outlineLevel="0" collapsed="false">
      <c r="A25" s="26" t="s">
        <v>218</v>
      </c>
      <c r="B25" s="18" t="n">
        <v>1500</v>
      </c>
    </row>
    <row r="26" customFormat="false" ht="15" hidden="false" customHeight="true" outlineLevel="0" collapsed="false">
      <c r="A26" s="26" t="s">
        <v>219</v>
      </c>
      <c r="B26" s="18" t="n">
        <v>2500</v>
      </c>
    </row>
    <row r="27" customFormat="false" ht="15" hidden="false" customHeight="true" outlineLevel="0" collapsed="false">
      <c r="A27" s="19" t="s">
        <v>207</v>
      </c>
      <c r="B27" s="20" t="n">
        <f aca="false">SUM(B22:B26)</f>
        <v>17000</v>
      </c>
    </row>
    <row r="29" customFormat="false" ht="15" hidden="false" customHeight="true" outlineLevel="0" collapsed="false">
      <c r="A29" s="11" t="s">
        <v>220</v>
      </c>
    </row>
    <row r="30" customFormat="false" ht="14.25" hidden="false" customHeight="true" outlineLevel="0" collapsed="false">
      <c r="A30" s="26" t="s">
        <v>221</v>
      </c>
      <c r="B30" s="18" t="n">
        <v>5000</v>
      </c>
    </row>
    <row r="31" customFormat="false" ht="15" hidden="false" customHeight="true" outlineLevel="0" collapsed="false">
      <c r="A31" s="26" t="s">
        <v>222</v>
      </c>
      <c r="B31" s="18" t="n">
        <v>1000</v>
      </c>
    </row>
    <row r="32" customFormat="false" ht="15" hidden="false" customHeight="true" outlineLevel="0" collapsed="false">
      <c r="A32" s="19" t="s">
        <v>207</v>
      </c>
      <c r="B32" s="20" t="n">
        <f aca="false">SUM(B30:B31)</f>
        <v>6000</v>
      </c>
    </row>
    <row r="34" customFormat="false" ht="15" hidden="false" customHeight="true" outlineLevel="0" collapsed="false">
      <c r="A34" s="11" t="s">
        <v>223</v>
      </c>
    </row>
    <row r="35" customFormat="false" ht="15" hidden="false" customHeight="true" outlineLevel="0" collapsed="false">
      <c r="A35" s="26" t="s">
        <v>224</v>
      </c>
      <c r="B35" s="18" t="n">
        <v>3500</v>
      </c>
    </row>
    <row r="36" customFormat="false" ht="15" hidden="false" customHeight="true" outlineLevel="0" collapsed="false">
      <c r="A36" s="26" t="s">
        <v>225</v>
      </c>
      <c r="B36" s="18" t="n">
        <v>2500</v>
      </c>
    </row>
    <row r="37" customFormat="false" ht="15" hidden="false" customHeight="true" outlineLevel="0" collapsed="false">
      <c r="A37" s="19" t="s">
        <v>207</v>
      </c>
      <c r="B37" s="20" t="n">
        <f aca="false">SUM(B35:B36)</f>
        <v>6000</v>
      </c>
    </row>
    <row r="39" customFormat="false" ht="15" hidden="false" customHeight="true" outlineLevel="0" collapsed="false">
      <c r="A39" s="11" t="s">
        <v>226</v>
      </c>
    </row>
    <row r="40" customFormat="false" ht="14.25" hidden="false" customHeight="true" outlineLevel="0" collapsed="false">
      <c r="A40" s="17" t="s">
        <v>227</v>
      </c>
      <c r="B40" s="18" t="n">
        <v>1250</v>
      </c>
    </row>
    <row r="41" customFormat="false" ht="14.25" hidden="false" customHeight="true" outlineLevel="0" collapsed="false">
      <c r="A41" s="26" t="s">
        <v>228</v>
      </c>
      <c r="B41" s="18" t="n">
        <v>0</v>
      </c>
    </row>
    <row r="42" customFormat="false" ht="15" hidden="false" customHeight="true" outlineLevel="0" collapsed="false">
      <c r="A42" s="26" t="s">
        <v>229</v>
      </c>
      <c r="B42" s="18" t="n">
        <v>0</v>
      </c>
    </row>
    <row r="43" customFormat="false" ht="15" hidden="false" customHeight="true" outlineLevel="0" collapsed="false">
      <c r="A43" s="26" t="s">
        <v>230</v>
      </c>
      <c r="B43" s="18" t="n">
        <v>500</v>
      </c>
    </row>
    <row r="44" customFormat="false" ht="15" hidden="false" customHeight="true" outlineLevel="0" collapsed="false">
      <c r="A44" s="19" t="s">
        <v>207</v>
      </c>
      <c r="B44" s="20" t="n">
        <f aca="false">SUM(B40:B43)</f>
        <v>1750</v>
      </c>
    </row>
    <row r="46" customFormat="false" ht="15" hidden="false" customHeight="true" outlineLevel="0" collapsed="false">
      <c r="A46" s="11" t="s">
        <v>231</v>
      </c>
    </row>
    <row r="47" customFormat="false" ht="15" hidden="false" customHeight="true" outlineLevel="0" collapsed="false">
      <c r="A47" s="26" t="s">
        <v>232</v>
      </c>
      <c r="B47" s="18" t="n">
        <v>3000</v>
      </c>
    </row>
    <row r="48" customFormat="false" ht="15" hidden="false" customHeight="true" outlineLevel="0" collapsed="false">
      <c r="A48" s="19" t="s">
        <v>207</v>
      </c>
      <c r="B48" s="20" t="n">
        <f aca="false">SUM(B47:B47)</f>
        <v>3000</v>
      </c>
    </row>
    <row r="50" customFormat="false" ht="15.75" hidden="false" customHeight="true" outlineLevel="0" collapsed="false">
      <c r="A50" s="32" t="s">
        <v>233</v>
      </c>
      <c r="B50" s="33" t="n">
        <f aca="false">B11+B19+B27+B32+B37+B44+B48</f>
        <v>46750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34" t="s">
        <v>234</v>
      </c>
    </row>
    <row r="2" customFormat="false" ht="15" hidden="false" customHeight="false" outlineLevel="0" collapsed="false">
      <c r="A2" s="35" t="s">
        <v>235</v>
      </c>
    </row>
    <row r="4" customFormat="false" ht="15" hidden="false" customHeight="false" outlineLevel="0" collapsed="false">
      <c r="A4" s="36" t="s">
        <v>2</v>
      </c>
      <c r="B4" s="36" t="s">
        <v>3</v>
      </c>
      <c r="C4" s="36" t="s">
        <v>236</v>
      </c>
      <c r="D4" s="36" t="s">
        <v>4</v>
      </c>
      <c r="E4" s="36" t="s">
        <v>237</v>
      </c>
      <c r="F4" s="36" t="s">
        <v>6</v>
      </c>
    </row>
    <row r="5" customFormat="false" ht="15" hidden="false" customHeight="false" outlineLevel="0" collapsed="false">
      <c r="A5" s="37" t="s">
        <v>238</v>
      </c>
      <c r="B5" s="38"/>
      <c r="C5" s="38"/>
      <c r="D5" s="38"/>
      <c r="E5" s="38"/>
      <c r="F5" s="38"/>
    </row>
    <row r="6" customFormat="false" ht="15" hidden="false" customHeight="false" outlineLevel="0" collapsed="false">
      <c r="A6" s="35" t="s">
        <v>239</v>
      </c>
      <c r="B6" s="39" t="n">
        <v>0.12</v>
      </c>
      <c r="C6" s="35" t="s">
        <v>240</v>
      </c>
      <c r="D6" s="40" t="n">
        <v>40</v>
      </c>
      <c r="E6" s="41" t="n">
        <f aca="false">B6*D6</f>
        <v>4.8</v>
      </c>
      <c r="F6" s="35" t="s">
        <v>241</v>
      </c>
    </row>
    <row r="7" customFormat="false" ht="15" hidden="false" customHeight="false" outlineLevel="0" collapsed="false">
      <c r="A7" s="35" t="s">
        <v>242</v>
      </c>
      <c r="B7" s="39" t="n">
        <v>1</v>
      </c>
      <c r="C7" s="35" t="s">
        <v>243</v>
      </c>
      <c r="D7" s="40" t="n">
        <v>0.9</v>
      </c>
      <c r="E7" s="41" t="n">
        <f aca="false">B7*D7</f>
        <v>0.9</v>
      </c>
      <c r="F7" s="35" t="s">
        <v>244</v>
      </c>
    </row>
    <row r="8" customFormat="false" ht="15" hidden="false" customHeight="false" outlineLevel="0" collapsed="false">
      <c r="A8" s="35" t="s">
        <v>245</v>
      </c>
      <c r="B8" s="39" t="n">
        <v>1</v>
      </c>
      <c r="C8" s="35" t="s">
        <v>246</v>
      </c>
      <c r="D8" s="40" t="n">
        <v>0.6</v>
      </c>
      <c r="E8" s="41" t="n">
        <f aca="false">B8*D8</f>
        <v>0.6</v>
      </c>
      <c r="F8" s="35" t="s">
        <v>244</v>
      </c>
    </row>
    <row r="9" customFormat="false" ht="15" hidden="false" customHeight="false" outlineLevel="0" collapsed="false">
      <c r="A9" s="35" t="s">
        <v>247</v>
      </c>
      <c r="B9" s="39" t="n">
        <v>1</v>
      </c>
      <c r="C9" s="35" t="s">
        <v>248</v>
      </c>
      <c r="D9" s="40" t="n">
        <v>0.5</v>
      </c>
      <c r="E9" s="41" t="n">
        <f aca="false">B9*D9</f>
        <v>0.5</v>
      </c>
      <c r="F9" s="35" t="s">
        <v>244</v>
      </c>
    </row>
    <row r="10" customFormat="false" ht="15" hidden="false" customHeight="false" outlineLevel="0" collapsed="false">
      <c r="A10" s="35" t="s">
        <v>249</v>
      </c>
      <c r="B10" s="39" t="n">
        <v>1</v>
      </c>
      <c r="C10" s="35" t="s">
        <v>248</v>
      </c>
      <c r="D10" s="40" t="n">
        <v>0.3</v>
      </c>
      <c r="E10" s="41" t="n">
        <f aca="false">B10*D10</f>
        <v>0.3</v>
      </c>
      <c r="F10" s="35" t="s">
        <v>244</v>
      </c>
    </row>
    <row r="11" customFormat="false" ht="15" hidden="false" customHeight="false" outlineLevel="0" collapsed="false">
      <c r="A11" s="35" t="s">
        <v>250</v>
      </c>
      <c r="B11" s="39" t="n">
        <v>1</v>
      </c>
      <c r="C11" s="35" t="s">
        <v>243</v>
      </c>
      <c r="D11" s="40" t="n">
        <v>0.9</v>
      </c>
      <c r="E11" s="41" t="n">
        <f aca="false">B11*D11</f>
        <v>0.9</v>
      </c>
      <c r="F11" s="35" t="s">
        <v>244</v>
      </c>
    </row>
    <row r="12" customFormat="false" ht="15" hidden="false" customHeight="false" outlineLevel="0" collapsed="false">
      <c r="A12" s="42" t="s">
        <v>251</v>
      </c>
      <c r="E12" s="43" t="n">
        <f aca="false">SUM(E6:E11)</f>
        <v>8</v>
      </c>
    </row>
    <row r="13" customFormat="false" ht="15" hidden="false" customHeight="false" outlineLevel="0" collapsed="false">
      <c r="A13" s="37" t="s">
        <v>252</v>
      </c>
      <c r="B13" s="38"/>
      <c r="C13" s="38"/>
      <c r="D13" s="38"/>
      <c r="E13" s="38"/>
      <c r="F13" s="38"/>
    </row>
    <row r="14" customFormat="false" ht="15" hidden="false" customHeight="false" outlineLevel="0" collapsed="false">
      <c r="A14" s="35" t="s">
        <v>253</v>
      </c>
      <c r="B14" s="39" t="n">
        <v>0.15</v>
      </c>
      <c r="C14" s="35" t="s">
        <v>240</v>
      </c>
      <c r="D14" s="40" t="n">
        <v>7</v>
      </c>
      <c r="E14" s="41" t="n">
        <f aca="false">B14*D14</f>
        <v>1.05</v>
      </c>
      <c r="F14" s="35" t="s">
        <v>254</v>
      </c>
    </row>
    <row r="15" customFormat="false" ht="15" hidden="false" customHeight="false" outlineLevel="0" collapsed="false">
      <c r="A15" s="35" t="s">
        <v>255</v>
      </c>
      <c r="B15" s="39" t="n">
        <v>1</v>
      </c>
      <c r="C15" s="35" t="s">
        <v>248</v>
      </c>
      <c r="D15" s="40" t="n">
        <v>0.3</v>
      </c>
      <c r="E15" s="41" t="n">
        <f aca="false">B15*D15</f>
        <v>0.3</v>
      </c>
      <c r="F15" s="35" t="s">
        <v>244</v>
      </c>
    </row>
    <row r="16" customFormat="false" ht="15" hidden="false" customHeight="false" outlineLevel="0" collapsed="false">
      <c r="A16" s="35" t="s">
        <v>256</v>
      </c>
      <c r="B16" s="39" t="n">
        <v>1</v>
      </c>
      <c r="C16" s="35" t="s">
        <v>243</v>
      </c>
      <c r="D16" s="40" t="n">
        <v>0.35</v>
      </c>
      <c r="E16" s="41" t="n">
        <f aca="false">B16*D16</f>
        <v>0.35</v>
      </c>
      <c r="F16" s="35" t="s">
        <v>244</v>
      </c>
    </row>
    <row r="17" customFormat="false" ht="15" hidden="false" customHeight="false" outlineLevel="0" collapsed="false">
      <c r="A17" s="35" t="s">
        <v>257</v>
      </c>
      <c r="B17" s="39" t="n">
        <v>1</v>
      </c>
      <c r="C17" s="35" t="s">
        <v>258</v>
      </c>
      <c r="D17" s="40" t="n">
        <v>1.2</v>
      </c>
      <c r="E17" s="41" t="n">
        <f aca="false">B17*D17</f>
        <v>1.2</v>
      </c>
      <c r="F17" s="35" t="s">
        <v>244</v>
      </c>
    </row>
    <row r="18" customFormat="false" ht="15" hidden="false" customHeight="false" outlineLevel="0" collapsed="false">
      <c r="A18" s="35" t="s">
        <v>259</v>
      </c>
      <c r="B18" s="39" t="n">
        <v>1</v>
      </c>
      <c r="C18" s="35" t="s">
        <v>248</v>
      </c>
      <c r="D18" s="40" t="n">
        <v>0.3</v>
      </c>
      <c r="E18" s="41" t="n">
        <f aca="false">B18*D18</f>
        <v>0.3</v>
      </c>
      <c r="F18" s="35" t="s">
        <v>244</v>
      </c>
    </row>
    <row r="19" customFormat="false" ht="15" hidden="false" customHeight="false" outlineLevel="0" collapsed="false">
      <c r="A19" s="42" t="s">
        <v>260</v>
      </c>
      <c r="E19" s="43" t="n">
        <f aca="false">SUM(E14:E18)</f>
        <v>3.2</v>
      </c>
    </row>
    <row r="20" customFormat="false" ht="15" hidden="false" customHeight="false" outlineLevel="0" collapsed="false">
      <c r="A20" s="42" t="s">
        <v>261</v>
      </c>
      <c r="E20" s="43" t="n">
        <f aca="false">E12+E19</f>
        <v>11.2</v>
      </c>
    </row>
    <row r="22" customFormat="false" ht="15" hidden="false" customHeight="false" outlineLevel="0" collapsed="false">
      <c r="A22" s="36" t="s">
        <v>262</v>
      </c>
      <c r="B22" s="36" t="s">
        <v>263</v>
      </c>
      <c r="C22" s="36"/>
      <c r="D22" s="36"/>
      <c r="E22" s="36"/>
      <c r="F22" s="36" t="s">
        <v>6</v>
      </c>
    </row>
    <row r="23" customFormat="false" ht="15" hidden="false" customHeight="false" outlineLevel="0" collapsed="false">
      <c r="A23" s="35" t="s">
        <v>264</v>
      </c>
      <c r="B23" s="40" t="n">
        <v>18</v>
      </c>
      <c r="F23" s="35" t="s">
        <v>265</v>
      </c>
    </row>
    <row r="24" customFormat="false" ht="15" hidden="false" customHeight="false" outlineLevel="0" collapsed="false">
      <c r="A24" s="35" t="s">
        <v>266</v>
      </c>
      <c r="B24" s="40" t="n">
        <v>28</v>
      </c>
      <c r="F24" s="35" t="s">
        <v>244</v>
      </c>
    </row>
    <row r="25" customFormat="false" ht="15" hidden="false" customHeight="false" outlineLevel="0" collapsed="false">
      <c r="A25" s="35" t="s">
        <v>267</v>
      </c>
      <c r="B25" s="44" t="n">
        <v>0.15</v>
      </c>
      <c r="F25" s="35" t="s">
        <v>268</v>
      </c>
    </row>
    <row r="26" customFormat="false" ht="15" hidden="false" customHeight="false" outlineLevel="0" collapsed="false">
      <c r="A26" s="35" t="s">
        <v>269</v>
      </c>
      <c r="B26" s="44" t="n">
        <v>0.225</v>
      </c>
      <c r="F26" s="35" t="s">
        <v>270</v>
      </c>
    </row>
    <row r="27" customFormat="false" ht="15" hidden="false" customHeight="false" outlineLevel="0" collapsed="false">
      <c r="A27" s="35" t="s">
        <v>271</v>
      </c>
      <c r="B27" s="44" t="n">
        <v>0.4</v>
      </c>
      <c r="F27" s="35" t="s">
        <v>272</v>
      </c>
    </row>
    <row r="28" customFormat="false" ht="15" hidden="false" customHeight="false" outlineLevel="0" collapsed="false">
      <c r="A28" s="35" t="s">
        <v>273</v>
      </c>
      <c r="B28" s="44" t="n">
        <v>0.6</v>
      </c>
      <c r="F28" s="35" t="s">
        <v>274</v>
      </c>
    </row>
    <row r="30" customFormat="false" ht="15" hidden="false" customHeight="false" outlineLevel="0" collapsed="false">
      <c r="A30" s="36" t="s">
        <v>275</v>
      </c>
      <c r="B30" s="36" t="s">
        <v>263</v>
      </c>
      <c r="C30" s="36"/>
      <c r="D30" s="36"/>
      <c r="E30" s="36"/>
      <c r="F30" s="36" t="s">
        <v>276</v>
      </c>
    </row>
    <row r="31" customFormat="false" ht="15" hidden="false" customHeight="false" outlineLevel="0" collapsed="false">
      <c r="A31" s="35" t="s">
        <v>277</v>
      </c>
      <c r="B31" s="41" t="n">
        <f aca="false">B23/(1+B25)</f>
        <v>15.6521739130435</v>
      </c>
      <c r="F31" s="35" t="s">
        <v>278</v>
      </c>
    </row>
    <row r="32" customFormat="false" ht="15" hidden="false" customHeight="false" outlineLevel="0" collapsed="false">
      <c r="A32" s="35" t="s">
        <v>279</v>
      </c>
      <c r="B32" s="41" t="n">
        <f aca="false">B24/(1+B25)</f>
        <v>24.3478260869565</v>
      </c>
      <c r="F32" s="35"/>
    </row>
    <row r="33" customFormat="false" ht="15" hidden="false" customHeight="false" outlineLevel="0" collapsed="false">
      <c r="A33" s="35" t="s">
        <v>280</v>
      </c>
      <c r="B33" s="45" t="n">
        <f aca="false">IF(B31&gt;0,E12/B31,0)</f>
        <v>0.511111111111111</v>
      </c>
      <c r="F33" s="35" t="s">
        <v>281</v>
      </c>
    </row>
    <row r="34" customFormat="false" ht="15" hidden="false" customHeight="false" outlineLevel="0" collapsed="false">
      <c r="A34" s="35" t="s">
        <v>282</v>
      </c>
      <c r="B34" s="45" t="n">
        <f aca="false">IF(B32&gt;0,E20/B32,0)</f>
        <v>0.46</v>
      </c>
      <c r="F34" s="35"/>
    </row>
    <row r="35" customFormat="false" ht="15" hidden="false" customHeight="false" outlineLevel="0" collapsed="false">
      <c r="A35" s="35" t="s">
        <v>283</v>
      </c>
      <c r="B35" s="41" t="n">
        <f aca="false">B28*B32+(1-B28)*B31</f>
        <v>20.8695652173913</v>
      </c>
      <c r="F35" s="35" t="s">
        <v>284</v>
      </c>
    </row>
    <row r="36" customFormat="false" ht="15" hidden="false" customHeight="false" outlineLevel="0" collapsed="false">
      <c r="A36" s="35" t="s">
        <v>285</v>
      </c>
      <c r="B36" s="41" t="n">
        <f aca="false">B28*E20+(1-B28)*E12</f>
        <v>9.92</v>
      </c>
      <c r="F36" s="35"/>
    </row>
    <row r="37" customFormat="false" ht="15" hidden="false" customHeight="false" outlineLevel="0" collapsed="false">
      <c r="A37" s="35" t="s">
        <v>286</v>
      </c>
      <c r="B37" s="41" t="n">
        <f aca="false">B35*B27*B26</f>
        <v>1.87826086956522</v>
      </c>
      <c r="F37" s="35" t="s">
        <v>287</v>
      </c>
    </row>
    <row r="38" customFormat="false" ht="15" hidden="false" customHeight="false" outlineLevel="0" collapsed="false">
      <c r="A38" s="42" t="s">
        <v>288</v>
      </c>
      <c r="B38" s="43" t="n">
        <f aca="false">B35-B36-B37</f>
        <v>9.07130434782609</v>
      </c>
      <c r="F38" s="35" t="s">
        <v>289</v>
      </c>
    </row>
    <row r="39" customFormat="false" ht="15" hidden="false" customHeight="false" outlineLevel="0" collapsed="false">
      <c r="A39" s="35" t="s">
        <v>290</v>
      </c>
      <c r="B39" s="45" t="n">
        <f aca="false">IF(B35&gt;0,B38/B35,0)</f>
        <v>0.434666666666667</v>
      </c>
      <c r="F39" s="35"/>
    </row>
    <row r="41" customFormat="false" ht="15" hidden="false" customHeight="false" outlineLevel="0" collapsed="false">
      <c r="A41" s="35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34" t="s">
        <v>142</v>
      </c>
    </row>
    <row r="2" customFormat="false" ht="15" hidden="false" customHeight="false" outlineLevel="0" collapsed="false">
      <c r="A2" s="35" t="s">
        <v>292</v>
      </c>
    </row>
    <row r="4" customFormat="false" ht="15" hidden="false" customHeight="false" outlineLevel="0" collapsed="false">
      <c r="A4" s="36" t="s">
        <v>2</v>
      </c>
      <c r="B4" s="36" t="s">
        <v>263</v>
      </c>
      <c r="C4" s="36"/>
      <c r="D4" s="36" t="s">
        <v>6</v>
      </c>
    </row>
    <row r="5" customFormat="false" ht="15" hidden="false" customHeight="false" outlineLevel="0" collapsed="false">
      <c r="A5" s="35" t="s">
        <v>104</v>
      </c>
      <c r="B5" s="46" t="n">
        <f aca="false">'المصاريف الشهرية'!B15</f>
        <v>18270</v>
      </c>
      <c r="D5" s="35" t="s">
        <v>293</v>
      </c>
    </row>
    <row r="6" customFormat="false" ht="15" hidden="false" customHeight="false" outlineLevel="0" collapsed="false">
      <c r="A6" s="35" t="s">
        <v>294</v>
      </c>
      <c r="B6" s="41" t="n">
        <f aca="false">'تكلفة البرجر'!B38</f>
        <v>9.07130434782609</v>
      </c>
      <c r="D6" s="35" t="s">
        <v>295</v>
      </c>
    </row>
    <row r="7" customFormat="false" ht="15" hidden="false" customHeight="false" outlineLevel="0" collapsed="false">
      <c r="A7" s="35" t="s">
        <v>296</v>
      </c>
      <c r="B7" s="47" t="n">
        <v>30</v>
      </c>
      <c r="D7" s="35" t="s">
        <v>244</v>
      </c>
    </row>
    <row r="8" customFormat="false" ht="15" hidden="false" customHeight="false" outlineLevel="0" collapsed="false">
      <c r="A8" s="42" t="s">
        <v>297</v>
      </c>
      <c r="B8" s="48" t="n">
        <f aca="false">IF(B6&gt;0,ROUNDUP(B5/B6,0),"غير ممكن")</f>
        <v>2015</v>
      </c>
    </row>
    <row r="9" customFormat="false" ht="15" hidden="false" customHeight="false" outlineLevel="0" collapsed="false">
      <c r="A9" s="42" t="s">
        <v>298</v>
      </c>
      <c r="B9" s="48" t="n">
        <f aca="false">IF(ISNUMBER(B8),ROUNDUP(B8/B7,0),"غير ممكن")</f>
        <v>68</v>
      </c>
    </row>
    <row r="10" customFormat="false" ht="15" hidden="false" customHeight="false" outlineLevel="0" collapsed="false">
      <c r="A10" s="35" t="s">
        <v>299</v>
      </c>
      <c r="B10" s="46" t="n">
        <f aca="false">IF(ISNUMBER(B8),B8*'تكلفة البرجر'!B35,"غير ممكن")</f>
        <v>42052.1739130435</v>
      </c>
      <c r="D10" s="35" t="s">
        <v>300</v>
      </c>
    </row>
    <row r="12" customFormat="false" ht="15" hidden="false" customHeight="false" outlineLevel="0" collapsed="false">
      <c r="A12" s="36" t="s">
        <v>301</v>
      </c>
      <c r="B12" s="36" t="s">
        <v>302</v>
      </c>
      <c r="C12" s="36" t="s">
        <v>303</v>
      </c>
      <c r="D12" s="36" t="s">
        <v>6</v>
      </c>
    </row>
    <row r="13" customFormat="false" ht="15" hidden="false" customHeight="false" outlineLevel="0" collapsed="false">
      <c r="A13" s="47" t="n">
        <v>50</v>
      </c>
      <c r="B13" s="46" t="n">
        <f aca="false">A13*$B$7*'تكلفة البرجر'!$B$35</f>
        <v>31304.347826087</v>
      </c>
      <c r="C13" s="49" t="n">
        <f aca="false">A13*$B$7*$B$6-$B$5</f>
        <v>-4663.04347826087</v>
      </c>
      <c r="D13" s="35" t="s">
        <v>304</v>
      </c>
    </row>
    <row r="14" customFormat="false" ht="15" hidden="false" customHeight="false" outlineLevel="0" collapsed="false">
      <c r="A14" s="47" t="n">
        <v>75</v>
      </c>
      <c r="B14" s="46" t="n">
        <f aca="false">A14*$B$7*'تكلفة البرجر'!$B$35</f>
        <v>46956.5217391304</v>
      </c>
      <c r="C14" s="49" t="n">
        <f aca="false">A14*$B$7*$B$6-$B$5</f>
        <v>2140.4347826087</v>
      </c>
      <c r="D14" s="35" t="s">
        <v>305</v>
      </c>
    </row>
    <row r="15" customFormat="false" ht="15" hidden="false" customHeight="false" outlineLevel="0" collapsed="false">
      <c r="A15" s="47" t="n">
        <v>100</v>
      </c>
      <c r="B15" s="46" t="n">
        <f aca="false">A15*$B$7*'تكلفة البرجر'!$B$35</f>
        <v>62608.6956521739</v>
      </c>
      <c r="C15" s="49" t="n">
        <f aca="false">A15*$B$7*$B$6-$B$5</f>
        <v>8943.91304347826</v>
      </c>
    </row>
    <row r="16" customFormat="false" ht="15" hidden="false" customHeight="false" outlineLevel="0" collapsed="false">
      <c r="A16" s="47" t="n">
        <v>125</v>
      </c>
      <c r="B16" s="46" t="n">
        <f aca="false">A16*$B$7*'تكلفة البرجر'!$B$35</f>
        <v>78260.8695652174</v>
      </c>
      <c r="C16" s="49" t="n">
        <f aca="false">A16*$B$7*$B$6-$B$5</f>
        <v>15747.3913043478</v>
      </c>
    </row>
    <row r="17" customFormat="false" ht="15" hidden="false" customHeight="false" outlineLevel="0" collapsed="false">
      <c r="A17" s="47" t="n">
        <v>150</v>
      </c>
      <c r="B17" s="46" t="n">
        <f aca="false">A17*$B$7*'تكلفة البرجر'!$B$35</f>
        <v>93913.0434782609</v>
      </c>
      <c r="C17" s="49" t="n">
        <f aca="false">A17*$B$7*$B$6-$B$5</f>
        <v>22550.8695652174</v>
      </c>
    </row>
    <row r="18" customFormat="false" ht="15" hidden="false" customHeight="false" outlineLevel="0" collapsed="false">
      <c r="A18" s="47" t="n">
        <v>200</v>
      </c>
      <c r="B18" s="46" t="n">
        <f aca="false">A18*$B$7*'تكلفة البرجر'!$B$35</f>
        <v>125217.391304348</v>
      </c>
      <c r="C18" s="49" t="n">
        <f aca="false">A18*$B$7*$B$6-$B$5</f>
        <v>36157.8260869565</v>
      </c>
    </row>
    <row r="19" customFormat="false" ht="15" hidden="false" customHeight="false" outlineLevel="0" collapsed="false">
      <c r="A19" s="47" t="n">
        <v>250</v>
      </c>
      <c r="B19" s="46" t="n">
        <f aca="false">A19*$B$7*'تكلفة البرجر'!$B$35</f>
        <v>156521.739130435</v>
      </c>
      <c r="C19" s="49" t="n">
        <f aca="false">A19*$B$7*$B$6-$B$5</f>
        <v>49764.7826086957</v>
      </c>
    </row>
    <row r="20" customFormat="false" ht="15" hidden="false" customHeight="false" outlineLevel="0" collapsed="false">
      <c r="A20" s="47" t="n">
        <v>300</v>
      </c>
      <c r="B20" s="46" t="n">
        <f aca="false">A20*$B$7*'تكلفة البرجر'!$B$35</f>
        <v>187826.086956522</v>
      </c>
      <c r="C20" s="49" t="n">
        <f aca="false">A20*$B$7*$B$6-$B$5</f>
        <v>63371.7391304348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34" t="s">
        <v>144</v>
      </c>
    </row>
    <row r="2" customFormat="false" ht="15" hidden="false" customHeight="false" outlineLevel="0" collapsed="false">
      <c r="A2" s="35" t="s">
        <v>306</v>
      </c>
    </row>
    <row r="4" customFormat="false" ht="15" hidden="false" customHeight="false" outlineLevel="0" collapsed="false">
      <c r="A4" s="36" t="s">
        <v>2</v>
      </c>
      <c r="B4" s="36" t="s">
        <v>263</v>
      </c>
      <c r="C4" s="36"/>
      <c r="D4" s="36"/>
      <c r="E4" s="36"/>
      <c r="F4" s="36" t="s">
        <v>6</v>
      </c>
    </row>
    <row r="5" customFormat="false" ht="15" hidden="false" customHeight="false" outlineLevel="0" collapsed="false">
      <c r="A5" s="35" t="s">
        <v>307</v>
      </c>
      <c r="B5" s="46" t="n">
        <f aca="false">الملخص!B20</f>
        <v>198910</v>
      </c>
      <c r="F5" s="35" t="s">
        <v>308</v>
      </c>
    </row>
    <row r="6" customFormat="false" ht="15" hidden="false" customHeight="false" outlineLevel="0" collapsed="false">
      <c r="A6" s="35" t="s">
        <v>104</v>
      </c>
      <c r="B6" s="46" t="n">
        <f aca="false">'نقطة التعادل'!B5</f>
        <v>18270</v>
      </c>
    </row>
    <row r="7" customFormat="false" ht="15" hidden="false" customHeight="false" outlineLevel="0" collapsed="false">
      <c r="A7" s="35" t="s">
        <v>294</v>
      </c>
      <c r="B7" s="41" t="n">
        <f aca="false">'تكلفة البرجر'!B38</f>
        <v>9.07130434782609</v>
      </c>
    </row>
    <row r="8" customFormat="false" ht="15" hidden="false" customHeight="false" outlineLevel="0" collapsed="false">
      <c r="A8" s="35" t="s">
        <v>296</v>
      </c>
      <c r="B8" s="50" t="n">
        <f aca="false">'نقطة التعادل'!B7</f>
        <v>30</v>
      </c>
      <c r="F8" s="35" t="s">
        <v>309</v>
      </c>
    </row>
    <row r="10" customFormat="false" ht="15" hidden="false" customHeight="false" outlineLevel="0" collapsed="false">
      <c r="A10" s="36" t="s">
        <v>310</v>
      </c>
      <c r="B10" s="36" t="s">
        <v>301</v>
      </c>
      <c r="C10" s="36" t="s">
        <v>311</v>
      </c>
      <c r="D10" s="36" t="s">
        <v>312</v>
      </c>
      <c r="E10" s="36" t="s">
        <v>313</v>
      </c>
      <c r="F10" s="36" t="s">
        <v>6</v>
      </c>
    </row>
    <row r="11" customFormat="false" ht="15" hidden="false" customHeight="false" outlineLevel="0" collapsed="false">
      <c r="A11" s="42" t="s">
        <v>314</v>
      </c>
      <c r="B11" s="47" t="n">
        <v>80</v>
      </c>
      <c r="C11" s="49" t="n">
        <f aca="false">B11*$B$8*$B$7-$B$6</f>
        <v>3501.13043478261</v>
      </c>
      <c r="D11" s="50" t="n">
        <f aca="false">IF(C11&gt;0,ROUNDUP($B$5/C11,0),"ما يرجع")</f>
        <v>57</v>
      </c>
      <c r="E11" s="51" t="n">
        <f aca="false">IF(ISNUMBER(D11),D11/12,"-")</f>
        <v>4.75</v>
      </c>
      <c r="F11" s="35" t="s">
        <v>315</v>
      </c>
    </row>
    <row r="12" customFormat="false" ht="15" hidden="false" customHeight="false" outlineLevel="0" collapsed="false">
      <c r="A12" s="42" t="s">
        <v>316</v>
      </c>
      <c r="B12" s="47" t="n">
        <v>130</v>
      </c>
      <c r="C12" s="49" t="n">
        <f aca="false">B12*$B$8*$B$7-$B$6</f>
        <v>17108.0869565217</v>
      </c>
      <c r="D12" s="50" t="n">
        <f aca="false">IF(C12&gt;0,ROUNDUP($B$5/C12,0),"ما يرجع")</f>
        <v>12</v>
      </c>
      <c r="E12" s="51" t="n">
        <f aca="false">IF(ISNUMBER(D12),D12/12,"-")</f>
        <v>1</v>
      </c>
      <c r="F12" s="35" t="s">
        <v>244</v>
      </c>
    </row>
    <row r="13" customFormat="false" ht="15" hidden="false" customHeight="false" outlineLevel="0" collapsed="false">
      <c r="A13" s="42" t="s">
        <v>317</v>
      </c>
      <c r="B13" s="47" t="n">
        <v>220</v>
      </c>
      <c r="C13" s="49" t="n">
        <f aca="false">B13*$B$8*$B$7-$B$6</f>
        <v>41600.6086956522</v>
      </c>
      <c r="D13" s="50" t="n">
        <f aca="false">IF(C13&gt;0,ROUNDUP($B$5/C13,0),"ما يرجع")</f>
        <v>5</v>
      </c>
      <c r="E13" s="51" t="n">
        <f aca="false">IF(ISNUMBER(D13),D13/12,"-")</f>
        <v>0.416666666666667</v>
      </c>
      <c r="F13" s="35" t="s">
        <v>318</v>
      </c>
    </row>
    <row r="15" customFormat="false" ht="15" hidden="false" customHeight="false" outlineLevel="0" collapsed="false">
      <c r="A15" s="35" t="s">
        <v>319</v>
      </c>
    </row>
    <row r="16" customFormat="false" ht="15" hidden="false" customHeight="false" outlineLevel="0" collapsed="false">
      <c r="A16" s="35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2026-10-07T10:00:26Z</dcterms:created>
  <dc:creator>openpyxl</dc:creator>
  <dc:description/>
  <dc:language>en-US</dc:language>
  <cp:lastModifiedBy/>
  <dcterms:modified xsi:type="dcterms:W3CDTF">2026-10-11T05:38:04Z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