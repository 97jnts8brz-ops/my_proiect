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بح الطلب" sheetId="1" state="visible" r:id="rId3"/>
    <sheet name="سيناريوهات الشهر" sheetId="2" state="visible" r:id="rId4"/>
    <sheet name="قبل الإطلاق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<sst xmlns="http://schemas.openxmlformats.org/spreadsheetml/2006/main" count="87" uniqueCount="77">
  <si>
    <t xml:space="preserve">ربح الطلب الواحد (ريشة، مبخر السيارة)</t>
  </si>
  <si>
    <t xml:space="preserve">الخلايا الصفراء افتراضات مني مو أرقام مؤكدة. بدّلها بأرقام مورّدك وشركة الشحن الفعلية والباقي يتحدث.</t>
  </si>
  <si>
    <t xml:space="preserve">البند</t>
  </si>
  <si>
    <t xml:space="preserve">قطعة واحدة</t>
  </si>
  <si>
    <t xml:space="preserve">قطعتين</t>
  </si>
  <si>
    <t xml:space="preserve">ملاحظات</t>
  </si>
  <si>
    <t xml:space="preserve">سعر البيع للعميل (شامل الضريبة)</t>
  </si>
  <si>
    <t xml:space="preserve">افتراض: قارن بأسعار المنافسين في سوق المبخرات</t>
  </si>
  <si>
    <t xml:space="preserve">نسبة ضريبة القيمة المضافة المطبقة</t>
  </si>
  <si>
    <t xml:space="preserve">0% لو غير مسجّل. تسجيل الضريبة إلزامي لو تجاوزت مبيعاتك الحد النظامي. تأكد من هيئة الزكاة (ZATCA)</t>
  </si>
  <si>
    <t xml:space="preserve">تكلفة المنتج من المورّد (للقطعة)</t>
  </si>
  <si>
    <t xml:space="preserve">افتراض غير مؤكد. اطلب عرض سعر من المورّد، وجرّب عينة قبل الإعلان</t>
  </si>
  <si>
    <t xml:space="preserve">عدد القطع في الطلب</t>
  </si>
  <si>
    <t xml:space="preserve">تكلفة الشحن علينا للعميل</t>
  </si>
  <si>
    <t xml:space="preserve">افتراض: اسأل شركات الشحن عن سعر مدينتك</t>
  </si>
  <si>
    <t xml:space="preserve">رسوم الدفع عند الاستلام</t>
  </si>
  <si>
    <t xml:space="preserve">افتراض: تختلف حسب شركة الشحن</t>
  </si>
  <si>
    <t xml:space="preserve">نسبة المرتجعات والطلبات الملغاة</t>
  </si>
  <si>
    <t xml:space="preserve">افتراض: الدفع عند الاستلام غالبًا نسبة رفض أعلى من الدفع المسبق</t>
  </si>
  <si>
    <t xml:space="preserve">صافي الإيراد بدون ضريبة</t>
  </si>
  <si>
    <t xml:space="preserve">السعر ÷ (1 + الضريبة)</t>
  </si>
  <si>
    <t xml:space="preserve">إجمالي تكلفة المنتج</t>
  </si>
  <si>
    <t xml:space="preserve">تكلفة المرتجعات المتوقعة للطلب</t>
  </si>
  <si>
    <t xml:space="preserve">ذهاب وإياب بالشحن. بافتراض أن المنتج المرتجع يرجع سليم</t>
  </si>
  <si>
    <t xml:space="preserve">الربح قبل الإعلان</t>
  </si>
  <si>
    <t xml:space="preserve">اللي يبقى قبل ما تدفع للإعلان</t>
  </si>
  <si>
    <t xml:space="preserve">هامش الربح قبل الإعلان</t>
  </si>
  <si>
    <t xml:space="preserve">أعلى تكلفة إعلان لكل طلب (التعادل)</t>
  </si>
  <si>
    <t xml:space="preserve">لو تكلفتك الإعلانية للطلب أكثر من هذا الرقم، تخسر</t>
  </si>
  <si>
    <t xml:space="preserve">ROAS التعادل</t>
  </si>
  <si>
    <t xml:space="preserve">كل ريال إعلان لازم يرجع على الأقل هذا المبلغ مبيعات</t>
  </si>
  <si>
    <t xml:space="preserve">ثلاثة سيناريوهات لشهر واحد</t>
  </si>
  <si>
    <t xml:space="preserve">كل الأرقام الصفراء افتراضات. الإعلانات هي أكبر مجهول عندك، ما تعرفه إلا بعد التجربة.</t>
  </si>
  <si>
    <t xml:space="preserve">ضعيف</t>
  </si>
  <si>
    <t xml:space="preserve">متوسط</t>
  </si>
  <si>
    <t xml:space="preserve">قوي</t>
  </si>
  <si>
    <t xml:space="preserve">ميزانية الإعلان اليومية</t>
  </si>
  <si>
    <t xml:space="preserve">افتراض</t>
  </si>
  <si>
    <t xml:space="preserve">تكلفة الإعلان لكل طلب (CPA)</t>
  </si>
  <si>
    <t xml:space="preserve">افتراض غير مؤكد. تعرفها من أول أسبوع إعلانات</t>
  </si>
  <si>
    <t xml:space="preserve">أيام الإعلان في الشهر</t>
  </si>
  <si>
    <t xml:space="preserve">نسبة من يختار القطعتين</t>
  </si>
  <si>
    <t xml:space="preserve">مصاريف ثابتة شهرية (أدوات، اشتراكات)</t>
  </si>
  <si>
    <t xml:space="preserve">افتراض: دومين، أدوات، إلخ</t>
  </si>
  <si>
    <t xml:space="preserve">عدد الطلبات في الشهر</t>
  </si>
  <si>
    <t xml:space="preserve">متوسط ربح الطلب قبل الإعلان</t>
  </si>
  <si>
    <t xml:space="preserve">مرجّح بنسبة الباقتين</t>
  </si>
  <si>
    <t xml:space="preserve">إجمالي الربح قبل الإعلان</t>
  </si>
  <si>
    <t xml:space="preserve">إجمالي الإعلان</t>
  </si>
  <si>
    <t xml:space="preserve">صافي الربح الشهري</t>
  </si>
  <si>
    <t xml:space="preserve">لو سالب فأنت تخسر في هذا السيناريو</t>
  </si>
  <si>
    <t xml:space="preserve">الإيراد الإجمالي (بدون ضريبة)</t>
  </si>
  <si>
    <t xml:space="preserve">ميزانية الاختبار المقترحة</t>
  </si>
  <si>
    <t xml:space="preserve">ميزانية إعلانات أول 7 أيام</t>
  </si>
  <si>
    <t xml:space="preserve">اللي تخسره غالبًا لو ما اشتغلت الإعلانات. لا تدخل بأكثر مما تتحمل خسارته</t>
  </si>
  <si>
    <t xml:space="preserve">عينة المنتج + مصاريف تجهيز</t>
  </si>
  <si>
    <t xml:space="preserve">افتراض: جرّب عينة قبل ما تبيع. تأكد من جودة المنتج وسلامته</t>
  </si>
  <si>
    <t xml:space="preserve">إجمالي رأس مال الاختبار</t>
  </si>
  <si>
    <t xml:space="preserve">أشياء تتأكد منها قبل ما تصرف على إعلان</t>
  </si>
  <si>
    <t xml:space="preserve">#</t>
  </si>
  <si>
    <t xml:space="preserve">ليش مهم</t>
  </si>
  <si>
    <t xml:space="preserve">الحالة</t>
  </si>
  <si>
    <t xml:space="preserve">نوع المنتج وطريقة تشغيله</t>
  </si>
  <si>
    <t xml:space="preserve">الموقع مكتوب على أنه مبخر كهربائي. تأكد من مصدر الطاقة (شاحن سيارة؟ USB؟ بطارية؟) ومدة التسخين، وعدّل الوصف</t>
  </si>
  <si>
    <t xml:space="preserve">لم يتم</t>
  </si>
  <si>
    <t xml:space="preserve">سلامة الاستخدام</t>
  </si>
  <si>
    <t xml:space="preserve">منتج يسخّن داخل السيارة. اطلب شهادات الجودة (مثل SASO/SABER) من المورّد. بعض المنتجات المستوردة تحتاج مطابقة قبل البيع</t>
  </si>
  <si>
    <t xml:space="preserve">سعر المورّد وجودة العينة</t>
  </si>
  <si>
    <t xml:space="preserve">السعر 38 افتراض مني. اطلب عينة وجرّبها بنفسك أسبوع</t>
  </si>
  <si>
    <t xml:space="preserve">مدة التوصيل من المورّد</t>
  </si>
  <si>
    <t xml:space="preserve">لو المنتج يجي من الخارج وتأخر، المرتجعات والشكاوى ترتفع والإعلانات تخسر</t>
  </si>
  <si>
    <t xml:space="preserve">السجل التجاري أو وثيقة العمل الحر</t>
  </si>
  <si>
    <t xml:space="preserve">بيع المنتجات عبر متجر إلكتروني في السعودية يحتاج توثيق (مثل منصة معروف أو سجل تجاري). راجع الجهات الرسمية</t>
  </si>
  <si>
    <t xml:space="preserve">الصور</t>
  </si>
  <si>
    <t xml:space="preserve">صورة المنتج الحالية من المورّد غالبًا. صوّر المنتج بنفسك داخل سيارة حقيقية، وسوّها فيديو قصير للإعلان</t>
  </si>
  <si>
    <t xml:space="preserve">اسم العلامة (ريشة)</t>
  </si>
  <si>
    <t xml:space="preserve">اسم اقترحته أنا. ابحث إن ما أحد مسجّله قبل ما تطبع أي شي عليه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</si>
</sst>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&quot; ر.س&quot;"/>
    <numFmt numFmtId="166" formatCode="0.0%"/>
    <numFmt numFmtId="167" formatCode="0"/>
    <numFmt numFmtId="168" formatCode="0.00"/>
    <numFmt numFmtId="169" formatCode="#,##0&quot; ر.س&quot;"/>
    <numFmt numFmtId="170" formatCode="#,##0"/>
    <numFmt numFmtId="171" formatCode="#,##0&quot; ر.س&quot;;[RED]\-#,##0&quot; ر.س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FreeSans"/>
      <family val="0"/>
      <charset val="1"/>
    </font>
    <font>
      <sz val="11"/>
      <name val="FreeSans"/>
      <family val="0"/>
      <charset val="1"/>
    </font>
    <font>
      <b val="true"/>
      <sz val="11"/>
      <color rgb="FFFFFFFF"/>
      <name val="FreeSans"/>
      <family val="0"/>
      <charset val="1"/>
    </font>
    <font>
      <b val="true"/>
      <sz val="11"/>
      <name val="Free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E699"/>
        <bgColor rgb="FFFFCC99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2" t="s">
        <v>6</v>
      </c>
      <c r="B5" s="4" t="n">
        <v>129</v>
      </c>
      <c r="C5" s="4" t="n">
        <v>229</v>
      </c>
      <c r="D5" s="2" t="s">
        <v>7</v>
      </c>
    </row>
    <row r="6" customFormat="false" ht="23.85" hidden="false" customHeight="false" outlineLevel="0" collapsed="false">
      <c r="A6" s="2" t="s">
        <v>8</v>
      </c>
      <c r="B6" s="5" t="n">
        <v>0</v>
      </c>
      <c r="C6" s="5" t="n">
        <v>0</v>
      </c>
      <c r="D6" s="2" t="s">
        <v>9</v>
      </c>
    </row>
    <row r="7" customFormat="false" ht="15" hidden="false" customHeight="false" outlineLevel="0" collapsed="false">
      <c r="A7" s="2" t="s">
        <v>10</v>
      </c>
      <c r="B7" s="4" t="n">
        <v>38</v>
      </c>
      <c r="C7" s="4" t="n">
        <v>38</v>
      </c>
      <c r="D7" s="2" t="s">
        <v>11</v>
      </c>
    </row>
    <row r="8" customFormat="false" ht="15" hidden="false" customHeight="false" outlineLevel="0" collapsed="false">
      <c r="A8" s="2" t="s">
        <v>12</v>
      </c>
      <c r="B8" s="6" t="n">
        <v>1</v>
      </c>
      <c r="C8" s="6" t="n">
        <v>2</v>
      </c>
      <c r="D8" s="2"/>
    </row>
    <row r="9" customFormat="false" ht="15" hidden="false" customHeight="false" outlineLevel="0" collapsed="false">
      <c r="A9" s="2" t="s">
        <v>13</v>
      </c>
      <c r="B9" s="4" t="n">
        <v>22</v>
      </c>
      <c r="C9" s="4" t="n">
        <v>22</v>
      </c>
      <c r="D9" s="2" t="s">
        <v>14</v>
      </c>
    </row>
    <row r="10" customFormat="false" ht="15" hidden="false" customHeight="false" outlineLevel="0" collapsed="false">
      <c r="A10" s="2" t="s">
        <v>15</v>
      </c>
      <c r="B10" s="4" t="n">
        <v>12</v>
      </c>
      <c r="C10" s="4" t="n">
        <v>12</v>
      </c>
      <c r="D10" s="2" t="s">
        <v>16</v>
      </c>
    </row>
    <row r="11" customFormat="false" ht="15" hidden="false" customHeight="false" outlineLevel="0" collapsed="false">
      <c r="A11" s="2" t="s">
        <v>17</v>
      </c>
      <c r="B11" s="5" t="n">
        <v>0.15</v>
      </c>
      <c r="C11" s="5" t="n">
        <v>0.15</v>
      </c>
      <c r="D11" s="2" t="s">
        <v>18</v>
      </c>
    </row>
    <row r="13" customFormat="false" ht="15" hidden="false" customHeight="false" outlineLevel="0" collapsed="false">
      <c r="A13" s="2" t="s">
        <v>19</v>
      </c>
      <c r="B13" s="7" t="n">
        <f aca="false">B5/(1+B6)</f>
        <v>129</v>
      </c>
      <c r="C13" s="7" t="n">
        <f aca="false">C5/(1+C6)</f>
        <v>229</v>
      </c>
      <c r="D13" s="2" t="s">
        <v>20</v>
      </c>
    </row>
    <row r="14" customFormat="false" ht="15" hidden="false" customHeight="false" outlineLevel="0" collapsed="false">
      <c r="A14" s="2" t="s">
        <v>21</v>
      </c>
      <c r="B14" s="7" t="n">
        <f aca="false">B7*B8</f>
        <v>38</v>
      </c>
      <c r="C14" s="7" t="n">
        <f aca="false">C7*C8</f>
        <v>76</v>
      </c>
      <c r="D14" s="2"/>
    </row>
    <row r="15" customFormat="false" ht="15" hidden="false" customHeight="false" outlineLevel="0" collapsed="false">
      <c r="A15" s="2" t="s">
        <v>22</v>
      </c>
      <c r="B15" s="7" t="n">
        <f aca="false">B11*(B9*2)</f>
        <v>6.6</v>
      </c>
      <c r="C15" s="7" t="n">
        <f aca="false">C11*(C9*2)</f>
        <v>6.6</v>
      </c>
      <c r="D15" s="2" t="s">
        <v>23</v>
      </c>
    </row>
    <row r="16" customFormat="false" ht="15" hidden="false" customHeight="false" outlineLevel="0" collapsed="false">
      <c r="A16" s="8" t="s">
        <v>24</v>
      </c>
      <c r="B16" s="9" t="n">
        <f aca="false">B13-B14-B9-B10-B15</f>
        <v>50.4</v>
      </c>
      <c r="C16" s="9" t="n">
        <f aca="false">C13-C14-C9-C10-C15</f>
        <v>112.4</v>
      </c>
      <c r="D16" s="2" t="s">
        <v>25</v>
      </c>
    </row>
    <row r="17" customFormat="false" ht="15" hidden="false" customHeight="false" outlineLevel="0" collapsed="false">
      <c r="A17" s="2" t="s">
        <v>26</v>
      </c>
      <c r="B17" s="10" t="n">
        <f aca="false">IF(B13&gt;0,B16/B13,0)</f>
        <v>0.390697674418605</v>
      </c>
      <c r="C17" s="10" t="n">
        <f aca="false">IF(C13&gt;0,C16/C13,0)</f>
        <v>0.490829694323144</v>
      </c>
      <c r="D17" s="2"/>
    </row>
    <row r="18" customFormat="false" ht="15" hidden="false" customHeight="false" outlineLevel="0" collapsed="false">
      <c r="A18" s="8" t="s">
        <v>27</v>
      </c>
      <c r="B18" s="9" t="n">
        <f aca="false">B16</f>
        <v>50.4</v>
      </c>
      <c r="C18" s="9" t="n">
        <f aca="false">C16</f>
        <v>112.4</v>
      </c>
      <c r="D18" s="2" t="s">
        <v>28</v>
      </c>
    </row>
    <row r="19" customFormat="false" ht="15" hidden="false" customHeight="false" outlineLevel="0" collapsed="false">
      <c r="A19" s="2" t="s">
        <v>29</v>
      </c>
      <c r="B19" s="11" t="n">
        <f aca="false">IF(B16&gt;0,B5/B16,0)</f>
        <v>2.55952380952381</v>
      </c>
      <c r="C19" s="11" t="n">
        <f aca="false">IF(C16&gt;0,C5/C16,0)</f>
        <v>2.0373665480427</v>
      </c>
      <c r="D19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31</v>
      </c>
    </row>
    <row r="2" customFormat="false" ht="23.85" hidden="false" customHeight="false" outlineLevel="0" collapsed="false">
      <c r="A2" s="2" t="s">
        <v>32</v>
      </c>
    </row>
    <row r="4" customFormat="false" ht="15" hidden="false" customHeight="false" outlineLevel="0" collapsed="false">
      <c r="A4" s="3" t="s">
        <v>2</v>
      </c>
      <c r="B4" s="3" t="s">
        <v>33</v>
      </c>
      <c r="C4" s="3" t="s">
        <v>34</v>
      </c>
      <c r="D4" s="3" t="s">
        <v>35</v>
      </c>
      <c r="E4" s="3" t="s">
        <v>5</v>
      </c>
    </row>
    <row r="5" customFormat="false" ht="15" hidden="false" customHeight="false" outlineLevel="0" collapsed="false">
      <c r="A5" s="2" t="s">
        <v>36</v>
      </c>
      <c r="B5" s="12" t="n">
        <v>150</v>
      </c>
      <c r="C5" s="12" t="n">
        <v>150</v>
      </c>
      <c r="D5" s="12" t="n">
        <v>150</v>
      </c>
      <c r="E5" s="2" t="s">
        <v>37</v>
      </c>
    </row>
    <row r="6" customFormat="false" ht="15" hidden="false" customHeight="false" outlineLevel="0" collapsed="false">
      <c r="A6" s="2" t="s">
        <v>38</v>
      </c>
      <c r="B6" s="12" t="n">
        <v>80</v>
      </c>
      <c r="C6" s="12" t="n">
        <v>50</v>
      </c>
      <c r="D6" s="12" t="n">
        <v>35</v>
      </c>
      <c r="E6" s="2" t="s">
        <v>39</v>
      </c>
    </row>
    <row r="7" customFormat="false" ht="15" hidden="false" customHeight="false" outlineLevel="0" collapsed="false">
      <c r="A7" s="2" t="s">
        <v>40</v>
      </c>
      <c r="B7" s="6" t="n">
        <v>30</v>
      </c>
      <c r="C7" s="6" t="n">
        <v>30</v>
      </c>
      <c r="D7" s="6" t="n">
        <v>30</v>
      </c>
    </row>
    <row r="8" customFormat="false" ht="15" hidden="false" customHeight="false" outlineLevel="0" collapsed="false">
      <c r="A8" s="2" t="s">
        <v>41</v>
      </c>
      <c r="B8" s="5" t="n">
        <v>0.1</v>
      </c>
      <c r="C8" s="5" t="n">
        <v>0.2</v>
      </c>
      <c r="D8" s="5" t="n">
        <v>0.3</v>
      </c>
      <c r="E8" s="2" t="s">
        <v>37</v>
      </c>
    </row>
    <row r="9" customFormat="false" ht="15" hidden="false" customHeight="false" outlineLevel="0" collapsed="false">
      <c r="A9" s="2" t="s">
        <v>42</v>
      </c>
      <c r="B9" s="12" t="n">
        <v>300</v>
      </c>
      <c r="C9" s="12" t="n">
        <v>300</v>
      </c>
      <c r="D9" s="12" t="n">
        <v>300</v>
      </c>
      <c r="E9" s="2" t="s">
        <v>43</v>
      </c>
    </row>
    <row r="11" customFormat="false" ht="15" hidden="false" customHeight="false" outlineLevel="0" collapsed="false">
      <c r="A11" s="8" t="s">
        <v>44</v>
      </c>
      <c r="B11" s="13" t="n">
        <f aca="false">IF(B6&gt;0,B5*B7/B6,0)</f>
        <v>56.25</v>
      </c>
      <c r="C11" s="13" t="n">
        <f aca="false">IF(C6&gt;0,C5*C7/C6,0)</f>
        <v>90</v>
      </c>
      <c r="D11" s="13" t="n">
        <f aca="false">IF(D6&gt;0,D5*D7/D6,0)</f>
        <v>128.571428571429</v>
      </c>
    </row>
    <row r="12" customFormat="false" ht="15" hidden="false" customHeight="false" outlineLevel="0" collapsed="false">
      <c r="A12" s="2" t="s">
        <v>45</v>
      </c>
      <c r="B12" s="7" t="n">
        <f aca="false">(1-B8)*'ربح الطلب'!$B$16+B8*'ربح الطلب'!$C$16</f>
        <v>56.6</v>
      </c>
      <c r="C12" s="7" t="n">
        <f aca="false">(1-C8)*'ربح الطلب'!$B$16+C8*'ربح الطلب'!$C$16</f>
        <v>62.8</v>
      </c>
      <c r="D12" s="7" t="n">
        <f aca="false">(1-D8)*'ربح الطلب'!$B$16+D8*'ربح الطلب'!$C$16</f>
        <v>69</v>
      </c>
      <c r="E12" s="2" t="s">
        <v>46</v>
      </c>
    </row>
    <row r="13" customFormat="false" ht="15" hidden="false" customHeight="false" outlineLevel="0" collapsed="false">
      <c r="A13" s="2" t="s">
        <v>47</v>
      </c>
      <c r="B13" s="14" t="n">
        <f aca="false">B11*B12</f>
        <v>3183.75</v>
      </c>
      <c r="C13" s="14" t="n">
        <f aca="false">C11*C12</f>
        <v>5652</v>
      </c>
      <c r="D13" s="14" t="n">
        <f aca="false">D11*D12</f>
        <v>8871.42857142857</v>
      </c>
    </row>
    <row r="14" customFormat="false" ht="15" hidden="false" customHeight="false" outlineLevel="0" collapsed="false">
      <c r="A14" s="2" t="s">
        <v>48</v>
      </c>
      <c r="B14" s="14" t="n">
        <f aca="false">B5*B7</f>
        <v>4500</v>
      </c>
      <c r="C14" s="14" t="n">
        <f aca="false">C5*C7</f>
        <v>4500</v>
      </c>
      <c r="D14" s="14" t="n">
        <f aca="false">D5*D7</f>
        <v>4500</v>
      </c>
    </row>
    <row r="15" customFormat="false" ht="15" hidden="false" customHeight="false" outlineLevel="0" collapsed="false">
      <c r="A15" s="8" t="s">
        <v>49</v>
      </c>
      <c r="B15" s="15" t="n">
        <f aca="false">B13-B14-B9</f>
        <v>-1616.25</v>
      </c>
      <c r="C15" s="15" t="n">
        <f aca="false">C13-C14-C9</f>
        <v>852</v>
      </c>
      <c r="D15" s="15" t="n">
        <f aca="false">D13-D14-D9</f>
        <v>4071.42857142857</v>
      </c>
      <c r="E15" s="2" t="s">
        <v>50</v>
      </c>
    </row>
    <row r="16" customFormat="false" ht="15" hidden="false" customHeight="false" outlineLevel="0" collapsed="false">
      <c r="A16" s="2" t="s">
        <v>51</v>
      </c>
      <c r="B16" s="14" t="n">
        <f aca="false">B11*((1-B8)*'ربح الطلب'!$B$13+B8*'ربح الطلب'!$C$13)</f>
        <v>7818.75</v>
      </c>
      <c r="C16" s="14" t="n">
        <f aca="false">C11*((1-C8)*'ربح الطلب'!$B$13+C8*'ربح الطلب'!$C$13)</f>
        <v>13410</v>
      </c>
      <c r="D16" s="14" t="n">
        <f aca="false">D11*((1-D8)*'ربح الطلب'!$B$13+D8*'ربح الطلب'!$C$13)</f>
        <v>20442.8571428571</v>
      </c>
    </row>
    <row r="18" customFormat="false" ht="15" hidden="false" customHeight="false" outlineLevel="0" collapsed="false">
      <c r="A18" s="8" t="s">
        <v>52</v>
      </c>
    </row>
    <row r="19" customFormat="false" ht="23.85" hidden="false" customHeight="false" outlineLevel="0" collapsed="false">
      <c r="A19" s="2" t="s">
        <v>53</v>
      </c>
      <c r="B19" s="14" t="n">
        <f aca="false">B5*7</f>
        <v>1050</v>
      </c>
      <c r="E19" s="2" t="s">
        <v>54</v>
      </c>
    </row>
    <row r="20" customFormat="false" ht="15" hidden="false" customHeight="false" outlineLevel="0" collapsed="false">
      <c r="A20" s="2" t="s">
        <v>55</v>
      </c>
      <c r="B20" s="12" t="n">
        <v>400</v>
      </c>
      <c r="E20" s="2" t="s">
        <v>56</v>
      </c>
    </row>
    <row r="21" customFormat="false" ht="15" hidden="false" customHeight="false" outlineLevel="0" collapsed="false">
      <c r="A21" s="8" t="s">
        <v>57</v>
      </c>
      <c r="B21" s="16" t="n">
        <f aca="false">B19+B20</f>
        <v>1450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70"/>
    <col collapsed="false" customWidth="true" hidden="false" outlineLevel="0" max="4" min="4" style="0" width="14"/>
  </cols>
  <sheetData>
    <row r="1" customFormat="false" ht="143.25" hidden="false" customHeight="false" outlineLevel="0" collapsed="false">
      <c r="A1" s="1" t="s">
        <v>58</v>
      </c>
    </row>
    <row r="3" customFormat="false" ht="15" hidden="false" customHeight="false" outlineLevel="0" collapsed="false">
      <c r="A3" s="3" t="s">
        <v>59</v>
      </c>
      <c r="B3" s="3" t="s">
        <v>2</v>
      </c>
      <c r="C3" s="3" t="s">
        <v>60</v>
      </c>
      <c r="D3" s="3" t="s">
        <v>61</v>
      </c>
    </row>
    <row r="4" customFormat="false" ht="23.85" hidden="false" customHeight="false" outlineLevel="0" collapsed="false">
      <c r="A4" s="2" t="n">
        <v>1</v>
      </c>
      <c r="B4" s="8" t="s">
        <v>62</v>
      </c>
      <c r="C4" s="2" t="s">
        <v>63</v>
      </c>
      <c r="D4" s="2" t="s">
        <v>64</v>
      </c>
    </row>
    <row r="5" customFormat="false" ht="23.85" hidden="false" customHeight="false" outlineLevel="0" collapsed="false">
      <c r="A5" s="2" t="n">
        <v>2</v>
      </c>
      <c r="B5" s="8" t="s">
        <v>65</v>
      </c>
      <c r="C5" s="2" t="s">
        <v>66</v>
      </c>
      <c r="D5" s="2" t="s">
        <v>64</v>
      </c>
    </row>
    <row r="6" customFormat="false" ht="15" hidden="false" customHeight="false" outlineLevel="0" collapsed="false">
      <c r="A6" s="2" t="n">
        <v>3</v>
      </c>
      <c r="B6" s="8" t="s">
        <v>67</v>
      </c>
      <c r="C6" s="2" t="s">
        <v>68</v>
      </c>
      <c r="D6" s="2" t="s">
        <v>64</v>
      </c>
    </row>
    <row r="7" customFormat="false" ht="15" hidden="false" customHeight="false" outlineLevel="0" collapsed="false">
      <c r="A7" s="2" t="n">
        <v>4</v>
      </c>
      <c r="B7" s="8" t="s">
        <v>69</v>
      </c>
      <c r="C7" s="2" t="s">
        <v>70</v>
      </c>
      <c r="D7" s="2" t="s">
        <v>64</v>
      </c>
    </row>
    <row r="8" customFormat="false" ht="23.85" hidden="false" customHeight="false" outlineLevel="0" collapsed="false">
      <c r="A8" s="2" t="n">
        <v>5</v>
      </c>
      <c r="B8" s="8" t="s">
        <v>71</v>
      </c>
      <c r="C8" s="2" t="s">
        <v>72</v>
      </c>
      <c r="D8" s="2" t="s">
        <v>64</v>
      </c>
    </row>
    <row r="9" customFormat="false" ht="23.85" hidden="false" customHeight="false" outlineLevel="0" collapsed="false">
      <c r="A9" s="2" t="n">
        <v>6</v>
      </c>
      <c r="B9" s="8" t="s">
        <v>73</v>
      </c>
      <c r="C9" s="2" t="s">
        <v>74</v>
      </c>
      <c r="D9" s="2" t="s">
        <v>64</v>
      </c>
    </row>
    <row r="10" customFormat="false" ht="15" hidden="false" customHeight="false" outlineLevel="0" collapsed="false">
      <c r="A10" s="2" t="n">
        <v>7</v>
      </c>
      <c r="B10" s="8" t="s">
        <v>75</v>
      </c>
      <c r="C10" s="2" t="s">
        <v>76</v>
      </c>
      <c r="D10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2026-10-11T08:32:30Z</dcterms:created>
  <dc:creator>openpyxl</dc:creator>
  <dc:description/>
  <dc:language>en-US</dc:language>
  <cp:lastModifiedBy/>
  <dcterms:modified xsi:type="dcterms:W3CDTF">2026-10-11T08:32:30Z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